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0" yWindow="0" windowWidth="24640" windowHeight="15620" tabRatio="500"/>
  </bookViews>
  <sheets>
    <sheet name="Params" sheetId="7" r:id="rId1"/>
    <sheet name="Strong" sheetId="3" r:id="rId2"/>
    <sheet name="Strong (2)" sheetId="13" r:id="rId3"/>
    <sheet name="Weak" sheetId="11" r:id="rId4"/>
    <sheet name="Graphs" sheetId="8" r:id="rId5"/>
    <sheet name="Convergent g" sheetId="12" r:id="rId6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" i="7" l="1"/>
  <c r="C20" i="7"/>
  <c r="C16" i="7"/>
  <c r="C21" i="7"/>
  <c r="C17" i="7"/>
  <c r="C22" i="7"/>
  <c r="C18" i="7"/>
  <c r="C23" i="7"/>
  <c r="C25" i="7"/>
  <c r="C26" i="7"/>
  <c r="C27" i="7"/>
  <c r="C28" i="7"/>
  <c r="C30" i="7"/>
  <c r="B3" i="13"/>
  <c r="C3" i="13"/>
  <c r="D4" i="13"/>
  <c r="E5" i="13"/>
  <c r="F6" i="13"/>
  <c r="D3" i="13"/>
  <c r="E3" i="13"/>
  <c r="F3" i="13"/>
  <c r="F4" i="13"/>
  <c r="E4" i="13"/>
  <c r="F5" i="13"/>
  <c r="F8" i="13"/>
  <c r="C4" i="13"/>
  <c r="D5" i="13"/>
  <c r="E6" i="13"/>
  <c r="E8" i="13"/>
  <c r="F9" i="13"/>
  <c r="B4" i="13"/>
  <c r="C5" i="13"/>
  <c r="D6" i="13"/>
  <c r="D8" i="13"/>
  <c r="E9" i="13"/>
  <c r="B5" i="13"/>
  <c r="C6" i="13"/>
  <c r="C8" i="13"/>
  <c r="D9" i="13"/>
  <c r="B6" i="13"/>
  <c r="B8" i="13"/>
  <c r="C9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AF3" i="13"/>
  <c r="AG3" i="13"/>
  <c r="AH3" i="13"/>
  <c r="AI3" i="13"/>
  <c r="AJ3" i="13"/>
  <c r="AK3" i="13"/>
  <c r="AL3" i="13"/>
  <c r="AM3" i="13"/>
  <c r="AN3" i="13"/>
  <c r="AO3" i="13"/>
  <c r="AP3" i="13"/>
  <c r="AQ3" i="13"/>
  <c r="AR3" i="13"/>
  <c r="AS3" i="13"/>
  <c r="AT3" i="13"/>
  <c r="AU3" i="13"/>
  <c r="AV3" i="13"/>
  <c r="AW3" i="13"/>
  <c r="AX3" i="13"/>
  <c r="AY3" i="13"/>
  <c r="G4" i="13"/>
  <c r="G5" i="13"/>
  <c r="G6" i="13"/>
  <c r="H4" i="13"/>
  <c r="H5" i="13"/>
  <c r="H6" i="13"/>
  <c r="I4" i="13"/>
  <c r="I5" i="13"/>
  <c r="I6" i="13"/>
  <c r="J4" i="13"/>
  <c r="J5" i="13"/>
  <c r="J6" i="13"/>
  <c r="K4" i="13"/>
  <c r="K5" i="13"/>
  <c r="K6" i="13"/>
  <c r="L4" i="13"/>
  <c r="L5" i="13"/>
  <c r="L6" i="13"/>
  <c r="M4" i="13"/>
  <c r="M5" i="13"/>
  <c r="M6" i="13"/>
  <c r="N4" i="13"/>
  <c r="N5" i="13"/>
  <c r="N6" i="13"/>
  <c r="O4" i="13"/>
  <c r="O5" i="13"/>
  <c r="O6" i="13"/>
  <c r="P4" i="13"/>
  <c r="P5" i="13"/>
  <c r="P6" i="13"/>
  <c r="Q4" i="13"/>
  <c r="Q5" i="13"/>
  <c r="Q6" i="13"/>
  <c r="R4" i="13"/>
  <c r="R5" i="13"/>
  <c r="R6" i="13"/>
  <c r="S4" i="13"/>
  <c r="S5" i="13"/>
  <c r="S6" i="13"/>
  <c r="T4" i="13"/>
  <c r="T5" i="13"/>
  <c r="T6" i="13"/>
  <c r="U4" i="13"/>
  <c r="U5" i="13"/>
  <c r="U6" i="13"/>
  <c r="V4" i="13"/>
  <c r="V5" i="13"/>
  <c r="V6" i="13"/>
  <c r="W4" i="13"/>
  <c r="W5" i="13"/>
  <c r="W6" i="13"/>
  <c r="X4" i="13"/>
  <c r="X5" i="13"/>
  <c r="X6" i="13"/>
  <c r="Y4" i="13"/>
  <c r="Y5" i="13"/>
  <c r="Y6" i="13"/>
  <c r="Z4" i="13"/>
  <c r="Z5" i="13"/>
  <c r="Z6" i="13"/>
  <c r="AA4" i="13"/>
  <c r="AA5" i="13"/>
  <c r="AA6" i="13"/>
  <c r="AB4" i="13"/>
  <c r="AB5" i="13"/>
  <c r="AB6" i="13"/>
  <c r="AC4" i="13"/>
  <c r="AC5" i="13"/>
  <c r="AC6" i="13"/>
  <c r="AD4" i="13"/>
  <c r="AD5" i="13"/>
  <c r="AD6" i="13"/>
  <c r="AE4" i="13"/>
  <c r="AE5" i="13"/>
  <c r="AE6" i="13"/>
  <c r="AF4" i="13"/>
  <c r="AF5" i="13"/>
  <c r="AF6" i="13"/>
  <c r="AG4" i="13"/>
  <c r="AG5" i="13"/>
  <c r="AG6" i="13"/>
  <c r="AH4" i="13"/>
  <c r="AH5" i="13"/>
  <c r="AH6" i="13"/>
  <c r="AI4" i="13"/>
  <c r="AI5" i="13"/>
  <c r="AI6" i="13"/>
  <c r="AJ4" i="13"/>
  <c r="AJ5" i="13"/>
  <c r="AJ6" i="13"/>
  <c r="AK4" i="13"/>
  <c r="AK5" i="13"/>
  <c r="AK6" i="13"/>
  <c r="AL4" i="13"/>
  <c r="AL5" i="13"/>
  <c r="AL6" i="13"/>
  <c r="AM4" i="13"/>
  <c r="AM5" i="13"/>
  <c r="AM6" i="13"/>
  <c r="AN4" i="13"/>
  <c r="AN5" i="13"/>
  <c r="AN6" i="13"/>
  <c r="AO4" i="13"/>
  <c r="AO5" i="13"/>
  <c r="AO6" i="13"/>
  <c r="AP4" i="13"/>
  <c r="AP5" i="13"/>
  <c r="AP6" i="13"/>
  <c r="AQ4" i="13"/>
  <c r="AQ5" i="13"/>
  <c r="AQ6" i="13"/>
  <c r="AR4" i="13"/>
  <c r="AR5" i="13"/>
  <c r="AR6" i="13"/>
  <c r="AS4" i="13"/>
  <c r="AS5" i="13"/>
  <c r="AS6" i="13"/>
  <c r="AT4" i="13"/>
  <c r="AT5" i="13"/>
  <c r="AT6" i="13"/>
  <c r="AU4" i="13"/>
  <c r="AU5" i="13"/>
  <c r="AU6" i="13"/>
  <c r="AV4" i="13"/>
  <c r="AV5" i="13"/>
  <c r="AV6" i="13"/>
  <c r="AW4" i="13"/>
  <c r="AX5" i="13"/>
  <c r="AY6" i="13"/>
  <c r="AW5" i="13"/>
  <c r="AX6" i="13"/>
  <c r="AY27" i="13"/>
  <c r="AW6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A25" i="13"/>
  <c r="A26" i="13"/>
  <c r="A27" i="13"/>
  <c r="AX4" i="13"/>
  <c r="AY5" i="13"/>
  <c r="AY26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AY4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AY24" i="13"/>
  <c r="AX24" i="13"/>
  <c r="AW24" i="13"/>
  <c r="AV24" i="13"/>
  <c r="AU24" i="13"/>
  <c r="AT24" i="13"/>
  <c r="AS24" i="13"/>
  <c r="AR24" i="13"/>
  <c r="AQ24" i="13"/>
  <c r="AP24" i="13"/>
  <c r="AO24" i="13"/>
  <c r="AN24" i="13"/>
  <c r="AM24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AY8" i="13"/>
  <c r="AY15" i="13"/>
  <c r="AX8" i="13"/>
  <c r="AX15" i="13"/>
  <c r="AY21" i="13"/>
  <c r="AW8" i="13"/>
  <c r="AW15" i="13"/>
  <c r="AX21" i="13"/>
  <c r="AV8" i="13"/>
  <c r="AV15" i="13"/>
  <c r="AW21" i="13"/>
  <c r="AU8" i="13"/>
  <c r="AU15" i="13"/>
  <c r="AV21" i="13"/>
  <c r="AT8" i="13"/>
  <c r="AT15" i="13"/>
  <c r="AU21" i="13"/>
  <c r="AS8" i="13"/>
  <c r="AS15" i="13"/>
  <c r="AT21" i="13"/>
  <c r="AR8" i="13"/>
  <c r="AR15" i="13"/>
  <c r="AS21" i="13"/>
  <c r="AQ8" i="13"/>
  <c r="AQ15" i="13"/>
  <c r="AR21" i="13"/>
  <c r="AP8" i="13"/>
  <c r="AP15" i="13"/>
  <c r="AQ21" i="13"/>
  <c r="AO8" i="13"/>
  <c r="AO15" i="13"/>
  <c r="AP21" i="13"/>
  <c r="AN8" i="13"/>
  <c r="AN15" i="13"/>
  <c r="AO21" i="13"/>
  <c r="AM8" i="13"/>
  <c r="AM15" i="13"/>
  <c r="AN21" i="13"/>
  <c r="AL8" i="13"/>
  <c r="AL15" i="13"/>
  <c r="AM21" i="13"/>
  <c r="AK8" i="13"/>
  <c r="AK15" i="13"/>
  <c r="AL21" i="13"/>
  <c r="AJ8" i="13"/>
  <c r="AJ15" i="13"/>
  <c r="AK21" i="13"/>
  <c r="AI8" i="13"/>
  <c r="AI15" i="13"/>
  <c r="AJ21" i="13"/>
  <c r="AH8" i="13"/>
  <c r="AH15" i="13"/>
  <c r="AI21" i="13"/>
  <c r="AG8" i="13"/>
  <c r="AG15" i="13"/>
  <c r="AH21" i="13"/>
  <c r="AF8" i="13"/>
  <c r="AF15" i="13"/>
  <c r="AG21" i="13"/>
  <c r="AE8" i="13"/>
  <c r="AE15" i="13"/>
  <c r="AF21" i="13"/>
  <c r="AD8" i="13"/>
  <c r="AD15" i="13"/>
  <c r="AE21" i="13"/>
  <c r="AC8" i="13"/>
  <c r="AC15" i="13"/>
  <c r="AD21" i="13"/>
  <c r="AB8" i="13"/>
  <c r="AB15" i="13"/>
  <c r="AC21" i="13"/>
  <c r="AA8" i="13"/>
  <c r="AA15" i="13"/>
  <c r="AB21" i="13"/>
  <c r="Z8" i="13"/>
  <c r="Z15" i="13"/>
  <c r="AA21" i="13"/>
  <c r="Y8" i="13"/>
  <c r="Y15" i="13"/>
  <c r="Z21" i="13"/>
  <c r="X8" i="13"/>
  <c r="X15" i="13"/>
  <c r="Y21" i="13"/>
  <c r="W8" i="13"/>
  <c r="W15" i="13"/>
  <c r="X21" i="13"/>
  <c r="V8" i="13"/>
  <c r="V15" i="13"/>
  <c r="W21" i="13"/>
  <c r="U8" i="13"/>
  <c r="U15" i="13"/>
  <c r="V21" i="13"/>
  <c r="T8" i="13"/>
  <c r="T15" i="13"/>
  <c r="U21" i="13"/>
  <c r="S8" i="13"/>
  <c r="S15" i="13"/>
  <c r="T21" i="13"/>
  <c r="R8" i="13"/>
  <c r="R15" i="13"/>
  <c r="S21" i="13"/>
  <c r="Q8" i="13"/>
  <c r="Q15" i="13"/>
  <c r="R21" i="13"/>
  <c r="P8" i="13"/>
  <c r="P15" i="13"/>
  <c r="Q21" i="13"/>
  <c r="O8" i="13"/>
  <c r="O15" i="13"/>
  <c r="P21" i="13"/>
  <c r="N8" i="13"/>
  <c r="N15" i="13"/>
  <c r="O21" i="13"/>
  <c r="M8" i="13"/>
  <c r="M15" i="13"/>
  <c r="N21" i="13"/>
  <c r="L8" i="13"/>
  <c r="L15" i="13"/>
  <c r="M21" i="13"/>
  <c r="K8" i="13"/>
  <c r="K15" i="13"/>
  <c r="L21" i="13"/>
  <c r="J8" i="13"/>
  <c r="J15" i="13"/>
  <c r="K21" i="13"/>
  <c r="I8" i="13"/>
  <c r="I15" i="13"/>
  <c r="J21" i="13"/>
  <c r="H8" i="13"/>
  <c r="H15" i="13"/>
  <c r="I21" i="13"/>
  <c r="G8" i="13"/>
  <c r="G15" i="13"/>
  <c r="H21" i="13"/>
  <c r="F15" i="13"/>
  <c r="G21" i="13"/>
  <c r="E15" i="13"/>
  <c r="F21" i="13"/>
  <c r="D15" i="13"/>
  <c r="E21" i="13"/>
  <c r="C15" i="13"/>
  <c r="D21" i="13"/>
  <c r="B15" i="13"/>
  <c r="C21" i="13"/>
  <c r="A19" i="13"/>
  <c r="A20" i="13"/>
  <c r="A21" i="13"/>
  <c r="AY14" i="13"/>
  <c r="AX14" i="13"/>
  <c r="AY20" i="13"/>
  <c r="AW14" i="13"/>
  <c r="AX20" i="13"/>
  <c r="AV14" i="13"/>
  <c r="AW20" i="13"/>
  <c r="AU14" i="13"/>
  <c r="AV20" i="13"/>
  <c r="AT14" i="13"/>
  <c r="AU20" i="13"/>
  <c r="AS14" i="13"/>
  <c r="AT20" i="13"/>
  <c r="AR14" i="13"/>
  <c r="AS20" i="13"/>
  <c r="AQ14" i="13"/>
  <c r="AR20" i="13"/>
  <c r="AP14" i="13"/>
  <c r="AQ20" i="13"/>
  <c r="AO14" i="13"/>
  <c r="AP20" i="13"/>
  <c r="AN14" i="13"/>
  <c r="AO20" i="13"/>
  <c r="AM14" i="13"/>
  <c r="AN20" i="13"/>
  <c r="AL14" i="13"/>
  <c r="AM20" i="13"/>
  <c r="AK14" i="13"/>
  <c r="AL20" i="13"/>
  <c r="AJ14" i="13"/>
  <c r="AK20" i="13"/>
  <c r="AI14" i="13"/>
  <c r="AJ20" i="13"/>
  <c r="AH14" i="13"/>
  <c r="AI20" i="13"/>
  <c r="AG14" i="13"/>
  <c r="AH20" i="13"/>
  <c r="AF14" i="13"/>
  <c r="AG20" i="13"/>
  <c r="AE14" i="13"/>
  <c r="AF20" i="13"/>
  <c r="AD14" i="13"/>
  <c r="AE20" i="13"/>
  <c r="AC14" i="13"/>
  <c r="AD20" i="13"/>
  <c r="AB14" i="13"/>
  <c r="AC20" i="13"/>
  <c r="AA14" i="13"/>
  <c r="AB20" i="13"/>
  <c r="Z14" i="13"/>
  <c r="AA20" i="13"/>
  <c r="Y14" i="13"/>
  <c r="Z20" i="13"/>
  <c r="X14" i="13"/>
  <c r="Y20" i="13"/>
  <c r="W14" i="13"/>
  <c r="X20" i="13"/>
  <c r="V14" i="13"/>
  <c r="W20" i="13"/>
  <c r="U14" i="13"/>
  <c r="V20" i="13"/>
  <c r="T14" i="13"/>
  <c r="U20" i="13"/>
  <c r="S14" i="13"/>
  <c r="T20" i="13"/>
  <c r="R14" i="13"/>
  <c r="S20" i="13"/>
  <c r="Q14" i="13"/>
  <c r="R20" i="13"/>
  <c r="P14" i="13"/>
  <c r="Q20" i="13"/>
  <c r="O14" i="13"/>
  <c r="P20" i="13"/>
  <c r="N14" i="13"/>
  <c r="O20" i="13"/>
  <c r="M14" i="13"/>
  <c r="N20" i="13"/>
  <c r="L14" i="13"/>
  <c r="M20" i="13"/>
  <c r="K14" i="13"/>
  <c r="L20" i="13"/>
  <c r="J14" i="13"/>
  <c r="K20" i="13"/>
  <c r="I14" i="13"/>
  <c r="J20" i="13"/>
  <c r="H14" i="13"/>
  <c r="I20" i="13"/>
  <c r="G14" i="13"/>
  <c r="H20" i="13"/>
  <c r="F14" i="13"/>
  <c r="G20" i="13"/>
  <c r="E14" i="13"/>
  <c r="F20" i="13"/>
  <c r="D14" i="13"/>
  <c r="E20" i="13"/>
  <c r="C14" i="13"/>
  <c r="D20" i="13"/>
  <c r="B14" i="13"/>
  <c r="C20" i="13"/>
  <c r="AY13" i="13"/>
  <c r="AX13" i="13"/>
  <c r="AY19" i="13"/>
  <c r="AW13" i="13"/>
  <c r="AX19" i="13"/>
  <c r="AV13" i="13"/>
  <c r="AW19" i="13"/>
  <c r="AU13" i="13"/>
  <c r="AV19" i="13"/>
  <c r="AT13" i="13"/>
  <c r="AU19" i="13"/>
  <c r="AS13" i="13"/>
  <c r="AT19" i="13"/>
  <c r="AR13" i="13"/>
  <c r="AS19" i="13"/>
  <c r="AQ13" i="13"/>
  <c r="AR19" i="13"/>
  <c r="AP13" i="13"/>
  <c r="AQ19" i="13"/>
  <c r="AO13" i="13"/>
  <c r="AP19" i="13"/>
  <c r="AN13" i="13"/>
  <c r="AO19" i="13"/>
  <c r="AM13" i="13"/>
  <c r="AN19" i="13"/>
  <c r="AL13" i="13"/>
  <c r="AM19" i="13"/>
  <c r="AK13" i="13"/>
  <c r="AL19" i="13"/>
  <c r="AJ13" i="13"/>
  <c r="AK19" i="13"/>
  <c r="AI13" i="13"/>
  <c r="AJ19" i="13"/>
  <c r="AH13" i="13"/>
  <c r="AI19" i="13"/>
  <c r="AG13" i="13"/>
  <c r="AH19" i="13"/>
  <c r="AF13" i="13"/>
  <c r="AG19" i="13"/>
  <c r="AE13" i="13"/>
  <c r="AF19" i="13"/>
  <c r="AD13" i="13"/>
  <c r="AE19" i="13"/>
  <c r="AC13" i="13"/>
  <c r="AD19" i="13"/>
  <c r="AB13" i="13"/>
  <c r="AC19" i="13"/>
  <c r="AA13" i="13"/>
  <c r="AB19" i="13"/>
  <c r="Z13" i="13"/>
  <c r="AA19" i="13"/>
  <c r="Y13" i="13"/>
  <c r="Z19" i="13"/>
  <c r="X13" i="13"/>
  <c r="Y19" i="13"/>
  <c r="W13" i="13"/>
  <c r="X19" i="13"/>
  <c r="V13" i="13"/>
  <c r="W19" i="13"/>
  <c r="U13" i="13"/>
  <c r="V19" i="13"/>
  <c r="T13" i="13"/>
  <c r="U19" i="13"/>
  <c r="S13" i="13"/>
  <c r="T19" i="13"/>
  <c r="R13" i="13"/>
  <c r="S19" i="13"/>
  <c r="Q13" i="13"/>
  <c r="R19" i="13"/>
  <c r="P13" i="13"/>
  <c r="Q19" i="13"/>
  <c r="O13" i="13"/>
  <c r="P19" i="13"/>
  <c r="N13" i="13"/>
  <c r="O19" i="13"/>
  <c r="M13" i="13"/>
  <c r="N19" i="13"/>
  <c r="L13" i="13"/>
  <c r="M19" i="13"/>
  <c r="K13" i="13"/>
  <c r="L19" i="13"/>
  <c r="J13" i="13"/>
  <c r="K19" i="13"/>
  <c r="I13" i="13"/>
  <c r="J19" i="13"/>
  <c r="H13" i="13"/>
  <c r="I19" i="13"/>
  <c r="G13" i="13"/>
  <c r="H19" i="13"/>
  <c r="F13" i="13"/>
  <c r="G19" i="13"/>
  <c r="E13" i="13"/>
  <c r="F19" i="13"/>
  <c r="D13" i="13"/>
  <c r="E19" i="13"/>
  <c r="C13" i="13"/>
  <c r="D19" i="13"/>
  <c r="B13" i="13"/>
  <c r="C19" i="13"/>
  <c r="AY12" i="13"/>
  <c r="AX12" i="13"/>
  <c r="AY18" i="13"/>
  <c r="AW12" i="13"/>
  <c r="AX18" i="13"/>
  <c r="AV12" i="13"/>
  <c r="AW18" i="13"/>
  <c r="AU12" i="13"/>
  <c r="AV18" i="13"/>
  <c r="AT12" i="13"/>
  <c r="AU18" i="13"/>
  <c r="AS12" i="13"/>
  <c r="AT18" i="13"/>
  <c r="AR12" i="13"/>
  <c r="AS18" i="13"/>
  <c r="AQ12" i="13"/>
  <c r="AR18" i="13"/>
  <c r="AP12" i="13"/>
  <c r="AQ18" i="13"/>
  <c r="AO12" i="13"/>
  <c r="AP18" i="13"/>
  <c r="AN12" i="13"/>
  <c r="AO18" i="13"/>
  <c r="AM12" i="13"/>
  <c r="AN18" i="13"/>
  <c r="AL12" i="13"/>
  <c r="AM18" i="13"/>
  <c r="AK12" i="13"/>
  <c r="AL18" i="13"/>
  <c r="AJ12" i="13"/>
  <c r="AK18" i="13"/>
  <c r="AI12" i="13"/>
  <c r="AJ18" i="13"/>
  <c r="AH12" i="13"/>
  <c r="AI18" i="13"/>
  <c r="AG12" i="13"/>
  <c r="AH18" i="13"/>
  <c r="AF12" i="13"/>
  <c r="AG18" i="13"/>
  <c r="AE12" i="13"/>
  <c r="AF18" i="13"/>
  <c r="AD12" i="13"/>
  <c r="AE18" i="13"/>
  <c r="AC12" i="13"/>
  <c r="AD18" i="13"/>
  <c r="AB12" i="13"/>
  <c r="AC18" i="13"/>
  <c r="AA12" i="13"/>
  <c r="AB18" i="13"/>
  <c r="Z12" i="13"/>
  <c r="AA18" i="13"/>
  <c r="Y12" i="13"/>
  <c r="Z18" i="13"/>
  <c r="X12" i="13"/>
  <c r="Y18" i="13"/>
  <c r="W12" i="13"/>
  <c r="X18" i="13"/>
  <c r="V12" i="13"/>
  <c r="W18" i="13"/>
  <c r="U12" i="13"/>
  <c r="V18" i="13"/>
  <c r="T12" i="13"/>
  <c r="U18" i="13"/>
  <c r="S12" i="13"/>
  <c r="T18" i="13"/>
  <c r="R12" i="13"/>
  <c r="S18" i="13"/>
  <c r="Q12" i="13"/>
  <c r="R18" i="13"/>
  <c r="P12" i="13"/>
  <c r="Q18" i="13"/>
  <c r="O12" i="13"/>
  <c r="P18" i="13"/>
  <c r="N12" i="13"/>
  <c r="O18" i="13"/>
  <c r="M12" i="13"/>
  <c r="N18" i="13"/>
  <c r="L12" i="13"/>
  <c r="M18" i="13"/>
  <c r="K12" i="13"/>
  <c r="L18" i="13"/>
  <c r="J12" i="13"/>
  <c r="K18" i="13"/>
  <c r="I12" i="13"/>
  <c r="J18" i="13"/>
  <c r="H12" i="13"/>
  <c r="I18" i="13"/>
  <c r="G12" i="13"/>
  <c r="H18" i="13"/>
  <c r="F12" i="13"/>
  <c r="G18" i="13"/>
  <c r="E12" i="13"/>
  <c r="F18" i="13"/>
  <c r="D12" i="13"/>
  <c r="E18" i="13"/>
  <c r="C12" i="13"/>
  <c r="D18" i="13"/>
  <c r="B12" i="13"/>
  <c r="C18" i="13"/>
  <c r="A13" i="13"/>
  <c r="A14" i="13"/>
  <c r="A15" i="13"/>
  <c r="AY9" i="13"/>
  <c r="AX9" i="13"/>
  <c r="AW9" i="13"/>
  <c r="AV9" i="13"/>
  <c r="AU9" i="13"/>
  <c r="AT9" i="13"/>
  <c r="AS9" i="13"/>
  <c r="AR9" i="13"/>
  <c r="AQ9" i="13"/>
  <c r="AP9" i="13"/>
  <c r="AO9" i="13"/>
  <c r="AN9" i="13"/>
  <c r="AM9" i="13"/>
  <c r="AL9" i="13"/>
  <c r="AK9" i="13"/>
  <c r="AJ9" i="13"/>
  <c r="AI9" i="13"/>
  <c r="AH9" i="13"/>
  <c r="AG9" i="13"/>
  <c r="AF9" i="13"/>
  <c r="AE9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A4" i="13"/>
  <c r="A5" i="13"/>
  <c r="A6" i="13"/>
  <c r="C1" i="13"/>
  <c r="D1" i="13"/>
  <c r="E1" i="13"/>
  <c r="F1" i="13"/>
  <c r="G1" i="13"/>
  <c r="H1" i="13"/>
  <c r="I1" i="13"/>
  <c r="J1" i="13"/>
  <c r="K1" i="13"/>
  <c r="L1" i="13"/>
  <c r="M1" i="13"/>
  <c r="N1" i="13"/>
  <c r="O1" i="13"/>
  <c r="P1" i="13"/>
  <c r="Q1" i="13"/>
  <c r="R1" i="13"/>
  <c r="S1" i="13"/>
  <c r="T1" i="13"/>
  <c r="U1" i="13"/>
  <c r="V1" i="13"/>
  <c r="W1" i="13"/>
  <c r="X1" i="13"/>
  <c r="Y1" i="13"/>
  <c r="Z1" i="13"/>
  <c r="AA1" i="13"/>
  <c r="AB1" i="13"/>
  <c r="AC1" i="13"/>
  <c r="AD1" i="13"/>
  <c r="AE1" i="13"/>
  <c r="AF1" i="13"/>
  <c r="AG1" i="13"/>
  <c r="AH1" i="13"/>
  <c r="AI1" i="13"/>
  <c r="AJ1" i="13"/>
  <c r="AK1" i="13"/>
  <c r="AL1" i="13"/>
  <c r="AM1" i="13"/>
  <c r="AN1" i="13"/>
  <c r="AO1" i="13"/>
  <c r="AP1" i="13"/>
  <c r="AQ1" i="13"/>
  <c r="AR1" i="13"/>
  <c r="AS1" i="13"/>
  <c r="AT1" i="13"/>
  <c r="AU1" i="13"/>
  <c r="AV1" i="13"/>
  <c r="AW1" i="13"/>
  <c r="AX1" i="13"/>
  <c r="AY1" i="13"/>
  <c r="B12" i="11"/>
  <c r="C6" i="11"/>
  <c r="C13" i="11"/>
  <c r="B3" i="3"/>
  <c r="B4" i="3"/>
  <c r="B5" i="3"/>
  <c r="B6" i="3"/>
  <c r="C4" i="3"/>
  <c r="C5" i="3"/>
  <c r="C6" i="3"/>
  <c r="C3" i="3"/>
  <c r="C24" i="3"/>
  <c r="C2" i="12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Y2" i="12"/>
  <c r="Z2" i="12"/>
  <c r="AA2" i="12"/>
  <c r="AB2" i="12"/>
  <c r="AC2" i="12"/>
  <c r="AD2" i="12"/>
  <c r="AE2" i="12"/>
  <c r="AF2" i="12"/>
  <c r="AG2" i="12"/>
  <c r="AH2" i="12"/>
  <c r="AI2" i="12"/>
  <c r="AJ2" i="12"/>
  <c r="AK2" i="12"/>
  <c r="AL2" i="12"/>
  <c r="AM2" i="12"/>
  <c r="AN2" i="12"/>
  <c r="AO2" i="12"/>
  <c r="AP2" i="12"/>
  <c r="AQ2" i="12"/>
  <c r="AR2" i="12"/>
  <c r="AS2" i="12"/>
  <c r="AT2" i="12"/>
  <c r="AU2" i="12"/>
  <c r="AV2" i="12"/>
  <c r="AW2" i="12"/>
  <c r="AX2" i="12"/>
  <c r="AY2" i="12"/>
  <c r="AZ2" i="12"/>
  <c r="BA2" i="12"/>
  <c r="BB2" i="12"/>
  <c r="BC2" i="12"/>
  <c r="BD2" i="12"/>
  <c r="BE2" i="12"/>
  <c r="BF2" i="12"/>
  <c r="BG2" i="12"/>
  <c r="BH2" i="12"/>
  <c r="BI2" i="12"/>
  <c r="BJ2" i="12"/>
  <c r="BK2" i="12"/>
  <c r="BL2" i="12"/>
  <c r="BM2" i="12"/>
  <c r="BN2" i="12"/>
  <c r="BO2" i="12"/>
  <c r="BP2" i="12"/>
  <c r="BQ2" i="12"/>
  <c r="BR2" i="12"/>
  <c r="BS2" i="12"/>
  <c r="BT2" i="12"/>
  <c r="BU2" i="12"/>
  <c r="BV2" i="12"/>
  <c r="BW2" i="12"/>
  <c r="BX2" i="12"/>
  <c r="BY2" i="12"/>
  <c r="BZ2" i="12"/>
  <c r="CA2" i="12"/>
  <c r="CB2" i="12"/>
  <c r="CC2" i="12"/>
  <c r="CD2" i="12"/>
  <c r="CE2" i="12"/>
  <c r="CF2" i="12"/>
  <c r="CG2" i="12"/>
  <c r="CH2" i="12"/>
  <c r="CI2" i="12"/>
  <c r="CJ2" i="12"/>
  <c r="CK2" i="12"/>
  <c r="CL2" i="12"/>
  <c r="CM2" i="12"/>
  <c r="CN2" i="12"/>
  <c r="CO2" i="12"/>
  <c r="CP2" i="12"/>
  <c r="CQ2" i="12"/>
  <c r="CR2" i="12"/>
  <c r="CS2" i="12"/>
  <c r="CT2" i="12"/>
  <c r="CU2" i="12"/>
  <c r="CV2" i="12"/>
  <c r="CW2" i="12"/>
  <c r="CX2" i="12"/>
  <c r="CY2" i="12"/>
  <c r="CZ2" i="12"/>
  <c r="DA2" i="12"/>
  <c r="DB2" i="12"/>
  <c r="DC2" i="12"/>
  <c r="DD2" i="12"/>
  <c r="DE2" i="12"/>
  <c r="DF2" i="12"/>
  <c r="DG2" i="12"/>
  <c r="DH2" i="12"/>
  <c r="DI2" i="12"/>
  <c r="DJ2" i="12"/>
  <c r="DK2" i="12"/>
  <c r="DL2" i="12"/>
  <c r="DM2" i="12"/>
  <c r="DN2" i="12"/>
  <c r="DO2" i="12"/>
  <c r="DP2" i="12"/>
  <c r="DQ2" i="12"/>
  <c r="DR2" i="12"/>
  <c r="DS2" i="12"/>
  <c r="DT2" i="12"/>
  <c r="DU2" i="12"/>
  <c r="DV2" i="12"/>
  <c r="DW2" i="12"/>
  <c r="DX2" i="12"/>
  <c r="DY2" i="12"/>
  <c r="DZ2" i="12"/>
  <c r="EA2" i="12"/>
  <c r="EB2" i="12"/>
  <c r="EC2" i="12"/>
  <c r="ED2" i="12"/>
  <c r="EE2" i="12"/>
  <c r="EF2" i="12"/>
  <c r="EG2" i="12"/>
  <c r="EH2" i="12"/>
  <c r="EI2" i="12"/>
  <c r="EJ2" i="12"/>
  <c r="EK2" i="12"/>
  <c r="EL2" i="12"/>
  <c r="EM2" i="12"/>
  <c r="EN2" i="12"/>
  <c r="EO2" i="12"/>
  <c r="EP2" i="12"/>
  <c r="EQ2" i="12"/>
  <c r="ER2" i="12"/>
  <c r="ES2" i="12"/>
  <c r="ET2" i="12"/>
  <c r="EU2" i="12"/>
  <c r="B2" i="12"/>
  <c r="C1" i="12"/>
  <c r="D1" i="12"/>
  <c r="E1" i="12"/>
  <c r="F1" i="12"/>
  <c r="G1" i="12"/>
  <c r="H1" i="12"/>
  <c r="I1" i="12"/>
  <c r="J1" i="12"/>
  <c r="K1" i="12"/>
  <c r="L1" i="12"/>
  <c r="M1" i="12"/>
  <c r="N1" i="12"/>
  <c r="O1" i="12"/>
  <c r="P1" i="12"/>
  <c r="Q1" i="12"/>
  <c r="R1" i="12"/>
  <c r="S1" i="12"/>
  <c r="T1" i="12"/>
  <c r="U1" i="12"/>
  <c r="V1" i="12"/>
  <c r="W1" i="12"/>
  <c r="X1" i="12"/>
  <c r="Y1" i="12"/>
  <c r="Z1" i="12"/>
  <c r="AA1" i="12"/>
  <c r="AB1" i="12"/>
  <c r="AC1" i="12"/>
  <c r="AD1" i="12"/>
  <c r="AE1" i="12"/>
  <c r="AF1" i="12"/>
  <c r="AG1" i="12"/>
  <c r="AH1" i="12"/>
  <c r="AI1" i="12"/>
  <c r="AJ1" i="12"/>
  <c r="AK1" i="12"/>
  <c r="AL1" i="12"/>
  <c r="AM1" i="12"/>
  <c r="AN1" i="12"/>
  <c r="AO1" i="12"/>
  <c r="AP1" i="12"/>
  <c r="AQ1" i="12"/>
  <c r="AR1" i="12"/>
  <c r="AS1" i="12"/>
  <c r="AT1" i="12"/>
  <c r="AU1" i="12"/>
  <c r="AV1" i="12"/>
  <c r="AW1" i="12"/>
  <c r="AX1" i="12"/>
  <c r="AY1" i="12"/>
  <c r="AZ1" i="12"/>
  <c r="BA1" i="12"/>
  <c r="BB1" i="12"/>
  <c r="BC1" i="12"/>
  <c r="BD1" i="12"/>
  <c r="BE1" i="12"/>
  <c r="BF1" i="12"/>
  <c r="BG1" i="12"/>
  <c r="BH1" i="12"/>
  <c r="BI1" i="12"/>
  <c r="BJ1" i="12"/>
  <c r="BK1" i="12"/>
  <c r="BL1" i="12"/>
  <c r="BM1" i="12"/>
  <c r="BN1" i="12"/>
  <c r="BO1" i="12"/>
  <c r="BP1" i="12"/>
  <c r="BQ1" i="12"/>
  <c r="BR1" i="12"/>
  <c r="BS1" i="12"/>
  <c r="BT1" i="12"/>
  <c r="BU1" i="12"/>
  <c r="BV1" i="12"/>
  <c r="BW1" i="12"/>
  <c r="BX1" i="12"/>
  <c r="BY1" i="12"/>
  <c r="BZ1" i="12"/>
  <c r="CA1" i="12"/>
  <c r="CB1" i="12"/>
  <c r="CC1" i="12"/>
  <c r="CD1" i="12"/>
  <c r="CE1" i="12"/>
  <c r="CF1" i="12"/>
  <c r="CG1" i="12"/>
  <c r="CH1" i="12"/>
  <c r="CI1" i="12"/>
  <c r="CJ1" i="12"/>
  <c r="CK1" i="12"/>
  <c r="CL1" i="12"/>
  <c r="CM1" i="12"/>
  <c r="CN1" i="12"/>
  <c r="CO1" i="12"/>
  <c r="CP1" i="12"/>
  <c r="CQ1" i="12"/>
  <c r="CR1" i="12"/>
  <c r="CS1" i="12"/>
  <c r="CT1" i="12"/>
  <c r="CU1" i="12"/>
  <c r="CV1" i="12"/>
  <c r="CW1" i="12"/>
  <c r="CX1" i="12"/>
  <c r="CY1" i="12"/>
  <c r="CZ1" i="12"/>
  <c r="DA1" i="12"/>
  <c r="DB1" i="12"/>
  <c r="DC1" i="12"/>
  <c r="DD1" i="12"/>
  <c r="DE1" i="12"/>
  <c r="DF1" i="12"/>
  <c r="DG1" i="12"/>
  <c r="DH1" i="12"/>
  <c r="DI1" i="12"/>
  <c r="DJ1" i="12"/>
  <c r="DK1" i="12"/>
  <c r="DL1" i="12"/>
  <c r="DM1" i="12"/>
  <c r="DN1" i="12"/>
  <c r="DO1" i="12"/>
  <c r="DP1" i="12"/>
  <c r="DQ1" i="12"/>
  <c r="DR1" i="12"/>
  <c r="DS1" i="12"/>
  <c r="DT1" i="12"/>
  <c r="DU1" i="12"/>
  <c r="DV1" i="12"/>
  <c r="DW1" i="12"/>
  <c r="DX1" i="12"/>
  <c r="DY1" i="12"/>
  <c r="DZ1" i="12"/>
  <c r="EA1" i="12"/>
  <c r="EB1" i="12"/>
  <c r="EC1" i="12"/>
  <c r="ED1" i="12"/>
  <c r="EE1" i="12"/>
  <c r="EF1" i="12"/>
  <c r="EG1" i="12"/>
  <c r="EH1" i="12"/>
  <c r="EI1" i="12"/>
  <c r="EJ1" i="12"/>
  <c r="EK1" i="12"/>
  <c r="EL1" i="12"/>
  <c r="EM1" i="12"/>
  <c r="EN1" i="12"/>
  <c r="EO1" i="12"/>
  <c r="EP1" i="12"/>
  <c r="EQ1" i="12"/>
  <c r="ER1" i="12"/>
  <c r="ES1" i="12"/>
  <c r="ET1" i="12"/>
  <c r="EU1" i="12"/>
  <c r="EQ3" i="12"/>
  <c r="ER3" i="12"/>
  <c r="ES3" i="12"/>
  <c r="ET3" i="12"/>
  <c r="EU3" i="12"/>
  <c r="EQ4" i="12"/>
  <c r="ER4" i="12"/>
  <c r="ES4" i="12"/>
  <c r="ET4" i="12"/>
  <c r="EU4" i="12"/>
  <c r="EQ5" i="12"/>
  <c r="ER5" i="12"/>
  <c r="ES5" i="12"/>
  <c r="ET5" i="12"/>
  <c r="EU5" i="12"/>
  <c r="EQ6" i="12"/>
  <c r="ER6" i="12"/>
  <c r="ES6" i="12"/>
  <c r="ET6" i="12"/>
  <c r="EU6" i="12"/>
  <c r="B8" i="12"/>
  <c r="B9" i="12"/>
  <c r="B10" i="12"/>
  <c r="B11" i="12"/>
  <c r="C3" i="12"/>
  <c r="C9" i="12"/>
  <c r="C4" i="12"/>
  <c r="C10" i="12"/>
  <c r="C5" i="12"/>
  <c r="C11" i="12"/>
  <c r="C8" i="12"/>
  <c r="D3" i="12"/>
  <c r="D9" i="12"/>
  <c r="D4" i="12"/>
  <c r="D10" i="12"/>
  <c r="D5" i="12"/>
  <c r="D11" i="12"/>
  <c r="D8" i="12"/>
  <c r="E3" i="12"/>
  <c r="E9" i="12"/>
  <c r="E4" i="12"/>
  <c r="E10" i="12"/>
  <c r="E5" i="12"/>
  <c r="E11" i="12"/>
  <c r="E8" i="12"/>
  <c r="F3" i="12"/>
  <c r="F9" i="12"/>
  <c r="F4" i="12"/>
  <c r="F10" i="12"/>
  <c r="F5" i="12"/>
  <c r="F11" i="12"/>
  <c r="F8" i="12"/>
  <c r="G3" i="12"/>
  <c r="G9" i="12"/>
  <c r="G4" i="12"/>
  <c r="G10" i="12"/>
  <c r="G5" i="12"/>
  <c r="G11" i="12"/>
  <c r="G8" i="12"/>
  <c r="H3" i="12"/>
  <c r="H9" i="12"/>
  <c r="H4" i="12"/>
  <c r="H10" i="12"/>
  <c r="H5" i="12"/>
  <c r="H11" i="12"/>
  <c r="H8" i="12"/>
  <c r="I3" i="12"/>
  <c r="I9" i="12"/>
  <c r="I4" i="12"/>
  <c r="I10" i="12"/>
  <c r="I5" i="12"/>
  <c r="I11" i="12"/>
  <c r="I8" i="12"/>
  <c r="J3" i="12"/>
  <c r="J9" i="12"/>
  <c r="J4" i="12"/>
  <c r="J10" i="12"/>
  <c r="J5" i="12"/>
  <c r="J11" i="12"/>
  <c r="J8" i="12"/>
  <c r="K3" i="12"/>
  <c r="K9" i="12"/>
  <c r="K4" i="12"/>
  <c r="K10" i="12"/>
  <c r="K5" i="12"/>
  <c r="K11" i="12"/>
  <c r="K8" i="12"/>
  <c r="L3" i="12"/>
  <c r="L9" i="12"/>
  <c r="L4" i="12"/>
  <c r="L10" i="12"/>
  <c r="L5" i="12"/>
  <c r="L11" i="12"/>
  <c r="L8" i="12"/>
  <c r="M3" i="12"/>
  <c r="M9" i="12"/>
  <c r="M4" i="12"/>
  <c r="M10" i="12"/>
  <c r="M5" i="12"/>
  <c r="M11" i="12"/>
  <c r="M8" i="12"/>
  <c r="N3" i="12"/>
  <c r="N9" i="12"/>
  <c r="N4" i="12"/>
  <c r="N10" i="12"/>
  <c r="N5" i="12"/>
  <c r="N11" i="12"/>
  <c r="N8" i="12"/>
  <c r="O3" i="12"/>
  <c r="O9" i="12"/>
  <c r="O4" i="12"/>
  <c r="O10" i="12"/>
  <c r="O5" i="12"/>
  <c r="O11" i="12"/>
  <c r="O8" i="12"/>
  <c r="P3" i="12"/>
  <c r="P9" i="12"/>
  <c r="P4" i="12"/>
  <c r="P10" i="12"/>
  <c r="P5" i="12"/>
  <c r="P11" i="12"/>
  <c r="P8" i="12"/>
  <c r="Q3" i="12"/>
  <c r="Q9" i="12"/>
  <c r="Q4" i="12"/>
  <c r="Q10" i="12"/>
  <c r="Q5" i="12"/>
  <c r="Q11" i="12"/>
  <c r="Q8" i="12"/>
  <c r="R3" i="12"/>
  <c r="R9" i="12"/>
  <c r="R4" i="12"/>
  <c r="R10" i="12"/>
  <c r="R5" i="12"/>
  <c r="R11" i="12"/>
  <c r="R8" i="12"/>
  <c r="S3" i="12"/>
  <c r="S9" i="12"/>
  <c r="S4" i="12"/>
  <c r="S10" i="12"/>
  <c r="S5" i="12"/>
  <c r="S11" i="12"/>
  <c r="S8" i="12"/>
  <c r="T3" i="12"/>
  <c r="T9" i="12"/>
  <c r="T4" i="12"/>
  <c r="T10" i="12"/>
  <c r="T5" i="12"/>
  <c r="T11" i="12"/>
  <c r="T8" i="12"/>
  <c r="U3" i="12"/>
  <c r="U9" i="12"/>
  <c r="U4" i="12"/>
  <c r="U10" i="12"/>
  <c r="U5" i="12"/>
  <c r="U11" i="12"/>
  <c r="U8" i="12"/>
  <c r="V3" i="12"/>
  <c r="V9" i="12"/>
  <c r="V4" i="12"/>
  <c r="V10" i="12"/>
  <c r="V5" i="12"/>
  <c r="V11" i="12"/>
  <c r="V8" i="12"/>
  <c r="W3" i="12"/>
  <c r="W9" i="12"/>
  <c r="W4" i="12"/>
  <c r="W10" i="12"/>
  <c r="W5" i="12"/>
  <c r="W11" i="12"/>
  <c r="W8" i="12"/>
  <c r="X3" i="12"/>
  <c r="X9" i="12"/>
  <c r="X4" i="12"/>
  <c r="X10" i="12"/>
  <c r="X5" i="12"/>
  <c r="X11" i="12"/>
  <c r="X8" i="12"/>
  <c r="Y3" i="12"/>
  <c r="Y9" i="12"/>
  <c r="Y4" i="12"/>
  <c r="Y10" i="12"/>
  <c r="Y5" i="12"/>
  <c r="Y11" i="12"/>
  <c r="Y8" i="12"/>
  <c r="Z3" i="12"/>
  <c r="Z9" i="12"/>
  <c r="Z4" i="12"/>
  <c r="Z10" i="12"/>
  <c r="Z5" i="12"/>
  <c r="Z11" i="12"/>
  <c r="Z8" i="12"/>
  <c r="AA3" i="12"/>
  <c r="AA9" i="12"/>
  <c r="AA4" i="12"/>
  <c r="AA10" i="12"/>
  <c r="AA5" i="12"/>
  <c r="AA11" i="12"/>
  <c r="AA8" i="12"/>
  <c r="AB3" i="12"/>
  <c r="AB9" i="12"/>
  <c r="AB4" i="12"/>
  <c r="AB10" i="12"/>
  <c r="AB5" i="12"/>
  <c r="AB11" i="12"/>
  <c r="AB8" i="12"/>
  <c r="AC3" i="12"/>
  <c r="AC9" i="12"/>
  <c r="AC4" i="12"/>
  <c r="AC10" i="12"/>
  <c r="AC5" i="12"/>
  <c r="AC11" i="12"/>
  <c r="AC8" i="12"/>
  <c r="AD3" i="12"/>
  <c r="AD9" i="12"/>
  <c r="AD4" i="12"/>
  <c r="AD10" i="12"/>
  <c r="AD5" i="12"/>
  <c r="AD11" i="12"/>
  <c r="AD8" i="12"/>
  <c r="AE3" i="12"/>
  <c r="AE9" i="12"/>
  <c r="AE4" i="12"/>
  <c r="AE10" i="12"/>
  <c r="AE5" i="12"/>
  <c r="AE11" i="12"/>
  <c r="AE8" i="12"/>
  <c r="AF3" i="12"/>
  <c r="AF9" i="12"/>
  <c r="AF4" i="12"/>
  <c r="AF10" i="12"/>
  <c r="AF5" i="12"/>
  <c r="AF11" i="12"/>
  <c r="AF8" i="12"/>
  <c r="AG3" i="12"/>
  <c r="AG9" i="12"/>
  <c r="AG4" i="12"/>
  <c r="AG10" i="12"/>
  <c r="AG5" i="12"/>
  <c r="AG11" i="12"/>
  <c r="AG8" i="12"/>
  <c r="AH3" i="12"/>
  <c r="AH9" i="12"/>
  <c r="AH4" i="12"/>
  <c r="AH10" i="12"/>
  <c r="AH5" i="12"/>
  <c r="AH11" i="12"/>
  <c r="AH8" i="12"/>
  <c r="AI3" i="12"/>
  <c r="AI9" i="12"/>
  <c r="AI4" i="12"/>
  <c r="AI10" i="12"/>
  <c r="AI5" i="12"/>
  <c r="AI11" i="12"/>
  <c r="AI8" i="12"/>
  <c r="AJ3" i="12"/>
  <c r="AJ9" i="12"/>
  <c r="AJ4" i="12"/>
  <c r="AJ10" i="12"/>
  <c r="AJ5" i="12"/>
  <c r="AJ11" i="12"/>
  <c r="AJ8" i="12"/>
  <c r="AK3" i="12"/>
  <c r="AK9" i="12"/>
  <c r="AK4" i="12"/>
  <c r="AK10" i="12"/>
  <c r="AK5" i="12"/>
  <c r="AK11" i="12"/>
  <c r="AK8" i="12"/>
  <c r="AL3" i="12"/>
  <c r="AL9" i="12"/>
  <c r="AL4" i="12"/>
  <c r="AL10" i="12"/>
  <c r="AL5" i="12"/>
  <c r="AL11" i="12"/>
  <c r="AL8" i="12"/>
  <c r="AM3" i="12"/>
  <c r="AM9" i="12"/>
  <c r="AM4" i="12"/>
  <c r="AM10" i="12"/>
  <c r="AM5" i="12"/>
  <c r="AM11" i="12"/>
  <c r="AM8" i="12"/>
  <c r="AN3" i="12"/>
  <c r="AN9" i="12"/>
  <c r="AN4" i="12"/>
  <c r="AN10" i="12"/>
  <c r="AN5" i="12"/>
  <c r="AN11" i="12"/>
  <c r="AN8" i="12"/>
  <c r="AO3" i="12"/>
  <c r="AO9" i="12"/>
  <c r="AO4" i="12"/>
  <c r="AO10" i="12"/>
  <c r="AO5" i="12"/>
  <c r="AO11" i="12"/>
  <c r="AO8" i="12"/>
  <c r="AP3" i="12"/>
  <c r="AP9" i="12"/>
  <c r="AP4" i="12"/>
  <c r="AP10" i="12"/>
  <c r="AP5" i="12"/>
  <c r="AP11" i="12"/>
  <c r="AP8" i="12"/>
  <c r="AQ3" i="12"/>
  <c r="AQ9" i="12"/>
  <c r="AQ4" i="12"/>
  <c r="AQ10" i="12"/>
  <c r="AQ5" i="12"/>
  <c r="AQ11" i="12"/>
  <c r="AQ8" i="12"/>
  <c r="AR3" i="12"/>
  <c r="AR9" i="12"/>
  <c r="AR4" i="12"/>
  <c r="AR10" i="12"/>
  <c r="AR5" i="12"/>
  <c r="AR11" i="12"/>
  <c r="AR8" i="12"/>
  <c r="AS3" i="12"/>
  <c r="AS9" i="12"/>
  <c r="AS4" i="12"/>
  <c r="AS10" i="12"/>
  <c r="AS5" i="12"/>
  <c r="AS11" i="12"/>
  <c r="AS8" i="12"/>
  <c r="AT3" i="12"/>
  <c r="AT9" i="12"/>
  <c r="AT4" i="12"/>
  <c r="AT10" i="12"/>
  <c r="AT5" i="12"/>
  <c r="AT11" i="12"/>
  <c r="AT8" i="12"/>
  <c r="AU3" i="12"/>
  <c r="AU9" i="12"/>
  <c r="AU4" i="12"/>
  <c r="AU10" i="12"/>
  <c r="AU5" i="12"/>
  <c r="AU11" i="12"/>
  <c r="AU8" i="12"/>
  <c r="AV3" i="12"/>
  <c r="AV9" i="12"/>
  <c r="AV4" i="12"/>
  <c r="AV10" i="12"/>
  <c r="AV5" i="12"/>
  <c r="AV11" i="12"/>
  <c r="AV8" i="12"/>
  <c r="AW3" i="12"/>
  <c r="AW9" i="12"/>
  <c r="AW4" i="12"/>
  <c r="AW10" i="12"/>
  <c r="AW5" i="12"/>
  <c r="AW11" i="12"/>
  <c r="AW8" i="12"/>
  <c r="AX3" i="12"/>
  <c r="AX9" i="12"/>
  <c r="AX4" i="12"/>
  <c r="AX10" i="12"/>
  <c r="AX5" i="12"/>
  <c r="AX11" i="12"/>
  <c r="AX8" i="12"/>
  <c r="AY3" i="12"/>
  <c r="AY9" i="12"/>
  <c r="AY4" i="12"/>
  <c r="AY10" i="12"/>
  <c r="AY5" i="12"/>
  <c r="AY11" i="12"/>
  <c r="AY8" i="12"/>
  <c r="AZ3" i="12"/>
  <c r="AZ9" i="12"/>
  <c r="AZ4" i="12"/>
  <c r="AZ10" i="12"/>
  <c r="AZ5" i="12"/>
  <c r="AZ11" i="12"/>
  <c r="AZ8" i="12"/>
  <c r="BA3" i="12"/>
  <c r="BA9" i="12"/>
  <c r="BA4" i="12"/>
  <c r="BA10" i="12"/>
  <c r="BA5" i="12"/>
  <c r="BA11" i="12"/>
  <c r="BA8" i="12"/>
  <c r="BB3" i="12"/>
  <c r="BB9" i="12"/>
  <c r="BB4" i="12"/>
  <c r="BB10" i="12"/>
  <c r="BB5" i="12"/>
  <c r="BB11" i="12"/>
  <c r="BB8" i="12"/>
  <c r="BC3" i="12"/>
  <c r="BC9" i="12"/>
  <c r="BC4" i="12"/>
  <c r="BC10" i="12"/>
  <c r="BC5" i="12"/>
  <c r="BC11" i="12"/>
  <c r="BC8" i="12"/>
  <c r="BD3" i="12"/>
  <c r="BD9" i="12"/>
  <c r="BD4" i="12"/>
  <c r="BD10" i="12"/>
  <c r="BD5" i="12"/>
  <c r="BD11" i="12"/>
  <c r="BD8" i="12"/>
  <c r="BE3" i="12"/>
  <c r="BE9" i="12"/>
  <c r="BE4" i="12"/>
  <c r="BE10" i="12"/>
  <c r="BE5" i="12"/>
  <c r="BE11" i="12"/>
  <c r="BE8" i="12"/>
  <c r="BF3" i="12"/>
  <c r="BF9" i="12"/>
  <c r="BF4" i="12"/>
  <c r="BF10" i="12"/>
  <c r="BF5" i="12"/>
  <c r="BF11" i="12"/>
  <c r="BF8" i="12"/>
  <c r="BG3" i="12"/>
  <c r="BG9" i="12"/>
  <c r="BG4" i="12"/>
  <c r="BG10" i="12"/>
  <c r="BG5" i="12"/>
  <c r="BG11" i="12"/>
  <c r="BG8" i="12"/>
  <c r="BH3" i="12"/>
  <c r="BH9" i="12"/>
  <c r="BH4" i="12"/>
  <c r="BH10" i="12"/>
  <c r="BH5" i="12"/>
  <c r="BH11" i="12"/>
  <c r="BH8" i="12"/>
  <c r="BI3" i="12"/>
  <c r="BI9" i="12"/>
  <c r="BI4" i="12"/>
  <c r="BI10" i="12"/>
  <c r="BI5" i="12"/>
  <c r="BI11" i="12"/>
  <c r="BI8" i="12"/>
  <c r="BJ3" i="12"/>
  <c r="BJ9" i="12"/>
  <c r="BJ4" i="12"/>
  <c r="BJ10" i="12"/>
  <c r="BJ5" i="12"/>
  <c r="BJ11" i="12"/>
  <c r="BJ8" i="12"/>
  <c r="BK3" i="12"/>
  <c r="BK9" i="12"/>
  <c r="BK4" i="12"/>
  <c r="BK10" i="12"/>
  <c r="BK5" i="12"/>
  <c r="BK11" i="12"/>
  <c r="BK8" i="12"/>
  <c r="BL3" i="12"/>
  <c r="BL9" i="12"/>
  <c r="BL4" i="12"/>
  <c r="BL10" i="12"/>
  <c r="BL5" i="12"/>
  <c r="BL11" i="12"/>
  <c r="BL8" i="12"/>
  <c r="BM3" i="12"/>
  <c r="BM9" i="12"/>
  <c r="BM4" i="12"/>
  <c r="BM10" i="12"/>
  <c r="BM5" i="12"/>
  <c r="BM11" i="12"/>
  <c r="BM8" i="12"/>
  <c r="BN3" i="12"/>
  <c r="BN9" i="12"/>
  <c r="BN4" i="12"/>
  <c r="BN10" i="12"/>
  <c r="BN5" i="12"/>
  <c r="BN11" i="12"/>
  <c r="BN8" i="12"/>
  <c r="BO3" i="12"/>
  <c r="BO9" i="12"/>
  <c r="BO4" i="12"/>
  <c r="BO10" i="12"/>
  <c r="BO5" i="12"/>
  <c r="BO11" i="12"/>
  <c r="BO8" i="12"/>
  <c r="BP3" i="12"/>
  <c r="BP9" i="12"/>
  <c r="BP4" i="12"/>
  <c r="BP10" i="12"/>
  <c r="BP5" i="12"/>
  <c r="BP11" i="12"/>
  <c r="BP8" i="12"/>
  <c r="BQ3" i="12"/>
  <c r="BQ9" i="12"/>
  <c r="BQ4" i="12"/>
  <c r="BQ10" i="12"/>
  <c r="BQ5" i="12"/>
  <c r="BQ11" i="12"/>
  <c r="BQ8" i="12"/>
  <c r="BR3" i="12"/>
  <c r="BR9" i="12"/>
  <c r="BR4" i="12"/>
  <c r="BR10" i="12"/>
  <c r="BR5" i="12"/>
  <c r="BR11" i="12"/>
  <c r="BR8" i="12"/>
  <c r="BS3" i="12"/>
  <c r="BS9" i="12"/>
  <c r="BS4" i="12"/>
  <c r="BS10" i="12"/>
  <c r="BS5" i="12"/>
  <c r="BS11" i="12"/>
  <c r="BS8" i="12"/>
  <c r="BT3" i="12"/>
  <c r="BT9" i="12"/>
  <c r="BT4" i="12"/>
  <c r="BT10" i="12"/>
  <c r="BT5" i="12"/>
  <c r="BT11" i="12"/>
  <c r="BT8" i="12"/>
  <c r="BU3" i="12"/>
  <c r="BU9" i="12"/>
  <c r="BU4" i="12"/>
  <c r="BU10" i="12"/>
  <c r="BU5" i="12"/>
  <c r="BU11" i="12"/>
  <c r="BU8" i="12"/>
  <c r="BV3" i="12"/>
  <c r="BV9" i="12"/>
  <c r="BV4" i="12"/>
  <c r="BV10" i="12"/>
  <c r="BV5" i="12"/>
  <c r="BV11" i="12"/>
  <c r="BV8" i="12"/>
  <c r="BW3" i="12"/>
  <c r="BW9" i="12"/>
  <c r="BW4" i="12"/>
  <c r="BW10" i="12"/>
  <c r="BW5" i="12"/>
  <c r="BW11" i="12"/>
  <c r="BW8" i="12"/>
  <c r="BX3" i="12"/>
  <c r="BX9" i="12"/>
  <c r="BX4" i="12"/>
  <c r="BX10" i="12"/>
  <c r="BX5" i="12"/>
  <c r="BX11" i="12"/>
  <c r="BX8" i="12"/>
  <c r="BY3" i="12"/>
  <c r="BY9" i="12"/>
  <c r="BY4" i="12"/>
  <c r="BY10" i="12"/>
  <c r="BY5" i="12"/>
  <c r="BY11" i="12"/>
  <c r="BY8" i="12"/>
  <c r="BZ3" i="12"/>
  <c r="BZ9" i="12"/>
  <c r="BZ4" i="12"/>
  <c r="BZ10" i="12"/>
  <c r="BZ5" i="12"/>
  <c r="BZ11" i="12"/>
  <c r="BZ8" i="12"/>
  <c r="CA3" i="12"/>
  <c r="CA9" i="12"/>
  <c r="CA4" i="12"/>
  <c r="CA10" i="12"/>
  <c r="CA5" i="12"/>
  <c r="CA11" i="12"/>
  <c r="CA8" i="12"/>
  <c r="CB3" i="12"/>
  <c r="CB9" i="12"/>
  <c r="CB4" i="12"/>
  <c r="CB10" i="12"/>
  <c r="CB5" i="12"/>
  <c r="CB11" i="12"/>
  <c r="CB8" i="12"/>
  <c r="CC3" i="12"/>
  <c r="CC9" i="12"/>
  <c r="CC4" i="12"/>
  <c r="CC10" i="12"/>
  <c r="CC5" i="12"/>
  <c r="CC11" i="12"/>
  <c r="CC8" i="12"/>
  <c r="CD3" i="12"/>
  <c r="CD9" i="12"/>
  <c r="CD4" i="12"/>
  <c r="CD10" i="12"/>
  <c r="CD5" i="12"/>
  <c r="CD11" i="12"/>
  <c r="CD8" i="12"/>
  <c r="CE3" i="12"/>
  <c r="CE9" i="12"/>
  <c r="CE4" i="12"/>
  <c r="CE10" i="12"/>
  <c r="CE5" i="12"/>
  <c r="CE11" i="12"/>
  <c r="CE8" i="12"/>
  <c r="CF3" i="12"/>
  <c r="CF9" i="12"/>
  <c r="CF4" i="12"/>
  <c r="CF10" i="12"/>
  <c r="CF5" i="12"/>
  <c r="CF11" i="12"/>
  <c r="CF8" i="12"/>
  <c r="CG3" i="12"/>
  <c r="CG9" i="12"/>
  <c r="CG4" i="12"/>
  <c r="CG10" i="12"/>
  <c r="CG5" i="12"/>
  <c r="CG11" i="12"/>
  <c r="CG8" i="12"/>
  <c r="CH3" i="12"/>
  <c r="CH9" i="12"/>
  <c r="CH4" i="12"/>
  <c r="CH10" i="12"/>
  <c r="CH5" i="12"/>
  <c r="CH11" i="12"/>
  <c r="CH8" i="12"/>
  <c r="CI3" i="12"/>
  <c r="CI9" i="12"/>
  <c r="CI4" i="12"/>
  <c r="CI10" i="12"/>
  <c r="CI5" i="12"/>
  <c r="CI11" i="12"/>
  <c r="CI8" i="12"/>
  <c r="CJ3" i="12"/>
  <c r="CJ9" i="12"/>
  <c r="CJ4" i="12"/>
  <c r="CJ10" i="12"/>
  <c r="CJ5" i="12"/>
  <c r="CJ11" i="12"/>
  <c r="CJ8" i="12"/>
  <c r="CK3" i="12"/>
  <c r="CK9" i="12"/>
  <c r="CK4" i="12"/>
  <c r="CK10" i="12"/>
  <c r="CK5" i="12"/>
  <c r="CK11" i="12"/>
  <c r="CK8" i="12"/>
  <c r="CL3" i="12"/>
  <c r="CL9" i="12"/>
  <c r="CL4" i="12"/>
  <c r="CL10" i="12"/>
  <c r="CL5" i="12"/>
  <c r="CL11" i="12"/>
  <c r="CL8" i="12"/>
  <c r="CM3" i="12"/>
  <c r="CM9" i="12"/>
  <c r="CM4" i="12"/>
  <c r="CM10" i="12"/>
  <c r="CM5" i="12"/>
  <c r="CM11" i="12"/>
  <c r="CM8" i="12"/>
  <c r="CN3" i="12"/>
  <c r="CN9" i="12"/>
  <c r="CN4" i="12"/>
  <c r="CN10" i="12"/>
  <c r="CN5" i="12"/>
  <c r="CN11" i="12"/>
  <c r="CN8" i="12"/>
  <c r="CO3" i="12"/>
  <c r="CO9" i="12"/>
  <c r="CO4" i="12"/>
  <c r="CO10" i="12"/>
  <c r="CO5" i="12"/>
  <c r="CO11" i="12"/>
  <c r="CO8" i="12"/>
  <c r="CP3" i="12"/>
  <c r="CP9" i="12"/>
  <c r="CP4" i="12"/>
  <c r="CP10" i="12"/>
  <c r="CP5" i="12"/>
  <c r="CP11" i="12"/>
  <c r="CP8" i="12"/>
  <c r="CQ3" i="12"/>
  <c r="CQ9" i="12"/>
  <c r="CQ4" i="12"/>
  <c r="CQ10" i="12"/>
  <c r="CQ5" i="12"/>
  <c r="CQ11" i="12"/>
  <c r="CQ8" i="12"/>
  <c r="CR3" i="12"/>
  <c r="CR9" i="12"/>
  <c r="CR4" i="12"/>
  <c r="CR10" i="12"/>
  <c r="CR5" i="12"/>
  <c r="CR11" i="12"/>
  <c r="CR8" i="12"/>
  <c r="CS3" i="12"/>
  <c r="CS9" i="12"/>
  <c r="CS4" i="12"/>
  <c r="CS10" i="12"/>
  <c r="CS5" i="12"/>
  <c r="CS11" i="12"/>
  <c r="CS8" i="12"/>
  <c r="CT3" i="12"/>
  <c r="CT9" i="12"/>
  <c r="CT4" i="12"/>
  <c r="CT10" i="12"/>
  <c r="CT5" i="12"/>
  <c r="CT11" i="12"/>
  <c r="CT8" i="12"/>
  <c r="CU3" i="12"/>
  <c r="CU9" i="12"/>
  <c r="CU4" i="12"/>
  <c r="CU10" i="12"/>
  <c r="CU5" i="12"/>
  <c r="CU11" i="12"/>
  <c r="CU8" i="12"/>
  <c r="CV3" i="12"/>
  <c r="CV9" i="12"/>
  <c r="CV4" i="12"/>
  <c r="CV10" i="12"/>
  <c r="CV5" i="12"/>
  <c r="CV11" i="12"/>
  <c r="CV8" i="12"/>
  <c r="CW3" i="12"/>
  <c r="CW9" i="12"/>
  <c r="CW4" i="12"/>
  <c r="CW10" i="12"/>
  <c r="CW5" i="12"/>
  <c r="CW11" i="12"/>
  <c r="CW8" i="12"/>
  <c r="CX3" i="12"/>
  <c r="CX9" i="12"/>
  <c r="CX4" i="12"/>
  <c r="CX10" i="12"/>
  <c r="CX5" i="12"/>
  <c r="CX11" i="12"/>
  <c r="CX8" i="12"/>
  <c r="CY3" i="12"/>
  <c r="CY9" i="12"/>
  <c r="CY4" i="12"/>
  <c r="CY10" i="12"/>
  <c r="CY5" i="12"/>
  <c r="CY11" i="12"/>
  <c r="CY8" i="12"/>
  <c r="CZ3" i="12"/>
  <c r="CZ9" i="12"/>
  <c r="CZ4" i="12"/>
  <c r="CZ10" i="12"/>
  <c r="CZ5" i="12"/>
  <c r="CZ11" i="12"/>
  <c r="CZ8" i="12"/>
  <c r="DA3" i="12"/>
  <c r="DA9" i="12"/>
  <c r="DA4" i="12"/>
  <c r="DA10" i="12"/>
  <c r="DA5" i="12"/>
  <c r="DA11" i="12"/>
  <c r="DA8" i="12"/>
  <c r="DB3" i="12"/>
  <c r="DB9" i="12"/>
  <c r="DB4" i="12"/>
  <c r="DB10" i="12"/>
  <c r="DB5" i="12"/>
  <c r="DB11" i="12"/>
  <c r="DB8" i="12"/>
  <c r="DC3" i="12"/>
  <c r="DC9" i="12"/>
  <c r="DC4" i="12"/>
  <c r="DC10" i="12"/>
  <c r="DC5" i="12"/>
  <c r="DC11" i="12"/>
  <c r="DC8" i="12"/>
  <c r="DD3" i="12"/>
  <c r="DD9" i="12"/>
  <c r="DD4" i="12"/>
  <c r="DD10" i="12"/>
  <c r="DD5" i="12"/>
  <c r="DD11" i="12"/>
  <c r="DD8" i="12"/>
  <c r="DE3" i="12"/>
  <c r="DE9" i="12"/>
  <c r="DE4" i="12"/>
  <c r="DE10" i="12"/>
  <c r="DE5" i="12"/>
  <c r="DE11" i="12"/>
  <c r="DE8" i="12"/>
  <c r="DF3" i="12"/>
  <c r="DF9" i="12"/>
  <c r="DF4" i="12"/>
  <c r="DF10" i="12"/>
  <c r="DF5" i="12"/>
  <c r="DF11" i="12"/>
  <c r="DF8" i="12"/>
  <c r="DG3" i="12"/>
  <c r="DG9" i="12"/>
  <c r="DG4" i="12"/>
  <c r="DG10" i="12"/>
  <c r="DG5" i="12"/>
  <c r="DG11" i="12"/>
  <c r="DG8" i="12"/>
  <c r="DH3" i="12"/>
  <c r="DH9" i="12"/>
  <c r="DH4" i="12"/>
  <c r="DH10" i="12"/>
  <c r="DH5" i="12"/>
  <c r="DH11" i="12"/>
  <c r="DH8" i="12"/>
  <c r="DI3" i="12"/>
  <c r="DI9" i="12"/>
  <c r="DI4" i="12"/>
  <c r="DI10" i="12"/>
  <c r="DI5" i="12"/>
  <c r="DI11" i="12"/>
  <c r="DI8" i="12"/>
  <c r="DJ3" i="12"/>
  <c r="DJ9" i="12"/>
  <c r="DJ4" i="12"/>
  <c r="DJ10" i="12"/>
  <c r="DJ5" i="12"/>
  <c r="DJ11" i="12"/>
  <c r="DJ8" i="12"/>
  <c r="DK3" i="12"/>
  <c r="DK9" i="12"/>
  <c r="DK4" i="12"/>
  <c r="DK10" i="12"/>
  <c r="DK5" i="12"/>
  <c r="DK11" i="12"/>
  <c r="DK8" i="12"/>
  <c r="DL3" i="12"/>
  <c r="DL9" i="12"/>
  <c r="DL4" i="12"/>
  <c r="DL10" i="12"/>
  <c r="DL5" i="12"/>
  <c r="DL11" i="12"/>
  <c r="DL8" i="12"/>
  <c r="DM3" i="12"/>
  <c r="DM9" i="12"/>
  <c r="DM4" i="12"/>
  <c r="DM10" i="12"/>
  <c r="DM5" i="12"/>
  <c r="DM11" i="12"/>
  <c r="DM8" i="12"/>
  <c r="DN3" i="12"/>
  <c r="DN9" i="12"/>
  <c r="DN4" i="12"/>
  <c r="DN10" i="12"/>
  <c r="DN5" i="12"/>
  <c r="DN11" i="12"/>
  <c r="DN8" i="12"/>
  <c r="DO3" i="12"/>
  <c r="DO9" i="12"/>
  <c r="DO4" i="12"/>
  <c r="DO10" i="12"/>
  <c r="DO5" i="12"/>
  <c r="DO11" i="12"/>
  <c r="DO8" i="12"/>
  <c r="DP3" i="12"/>
  <c r="DP9" i="12"/>
  <c r="DP4" i="12"/>
  <c r="DP10" i="12"/>
  <c r="DP5" i="12"/>
  <c r="DP11" i="12"/>
  <c r="DP8" i="12"/>
  <c r="DQ3" i="12"/>
  <c r="DQ9" i="12"/>
  <c r="DQ4" i="12"/>
  <c r="DQ10" i="12"/>
  <c r="DQ5" i="12"/>
  <c r="DQ11" i="12"/>
  <c r="DQ8" i="12"/>
  <c r="DR3" i="12"/>
  <c r="DR9" i="12"/>
  <c r="DR4" i="12"/>
  <c r="DR10" i="12"/>
  <c r="DR5" i="12"/>
  <c r="DR11" i="12"/>
  <c r="DR8" i="12"/>
  <c r="DS3" i="12"/>
  <c r="DS9" i="12"/>
  <c r="DS4" i="12"/>
  <c r="DS10" i="12"/>
  <c r="DS5" i="12"/>
  <c r="DS11" i="12"/>
  <c r="DS8" i="12"/>
  <c r="DT3" i="12"/>
  <c r="DT9" i="12"/>
  <c r="DT4" i="12"/>
  <c r="DT10" i="12"/>
  <c r="DT5" i="12"/>
  <c r="DT11" i="12"/>
  <c r="DT8" i="12"/>
  <c r="DU3" i="12"/>
  <c r="DU9" i="12"/>
  <c r="DU4" i="12"/>
  <c r="DU10" i="12"/>
  <c r="DU5" i="12"/>
  <c r="DU11" i="12"/>
  <c r="DU8" i="12"/>
  <c r="DV3" i="12"/>
  <c r="DV9" i="12"/>
  <c r="DV4" i="12"/>
  <c r="DV10" i="12"/>
  <c r="DV5" i="12"/>
  <c r="DV11" i="12"/>
  <c r="DV8" i="12"/>
  <c r="DW3" i="12"/>
  <c r="DW9" i="12"/>
  <c r="DW4" i="12"/>
  <c r="DW10" i="12"/>
  <c r="DW5" i="12"/>
  <c r="DW11" i="12"/>
  <c r="DW8" i="12"/>
  <c r="DX3" i="12"/>
  <c r="DX9" i="12"/>
  <c r="DX4" i="12"/>
  <c r="DX10" i="12"/>
  <c r="DX5" i="12"/>
  <c r="DX11" i="12"/>
  <c r="DX8" i="12"/>
  <c r="DY3" i="12"/>
  <c r="DY9" i="12"/>
  <c r="DY4" i="12"/>
  <c r="DY10" i="12"/>
  <c r="DY5" i="12"/>
  <c r="DY11" i="12"/>
  <c r="DY8" i="12"/>
  <c r="DZ3" i="12"/>
  <c r="DZ9" i="12"/>
  <c r="DZ4" i="12"/>
  <c r="DZ10" i="12"/>
  <c r="DZ5" i="12"/>
  <c r="DZ11" i="12"/>
  <c r="DZ8" i="12"/>
  <c r="EA3" i="12"/>
  <c r="EA9" i="12"/>
  <c r="EA4" i="12"/>
  <c r="EA10" i="12"/>
  <c r="EA5" i="12"/>
  <c r="EA11" i="12"/>
  <c r="EA8" i="12"/>
  <c r="EB3" i="12"/>
  <c r="EB9" i="12"/>
  <c r="EB4" i="12"/>
  <c r="EB10" i="12"/>
  <c r="EB5" i="12"/>
  <c r="EB11" i="12"/>
  <c r="EB8" i="12"/>
  <c r="EC3" i="12"/>
  <c r="EC9" i="12"/>
  <c r="EC4" i="12"/>
  <c r="EC10" i="12"/>
  <c r="EC5" i="12"/>
  <c r="EC11" i="12"/>
  <c r="EC8" i="12"/>
  <c r="ED3" i="12"/>
  <c r="ED9" i="12"/>
  <c r="ED4" i="12"/>
  <c r="ED10" i="12"/>
  <c r="ED5" i="12"/>
  <c r="ED11" i="12"/>
  <c r="ED8" i="12"/>
  <c r="EE3" i="12"/>
  <c r="EE9" i="12"/>
  <c r="EE4" i="12"/>
  <c r="EE10" i="12"/>
  <c r="EE5" i="12"/>
  <c r="EE11" i="12"/>
  <c r="EE8" i="12"/>
  <c r="EF3" i="12"/>
  <c r="EF9" i="12"/>
  <c r="EF4" i="12"/>
  <c r="EF10" i="12"/>
  <c r="EF5" i="12"/>
  <c r="EF11" i="12"/>
  <c r="EF8" i="12"/>
  <c r="EG3" i="12"/>
  <c r="EG9" i="12"/>
  <c r="EG4" i="12"/>
  <c r="EG10" i="12"/>
  <c r="EG5" i="12"/>
  <c r="EG11" i="12"/>
  <c r="EG8" i="12"/>
  <c r="EH3" i="12"/>
  <c r="EH9" i="12"/>
  <c r="EH4" i="12"/>
  <c r="EH10" i="12"/>
  <c r="EH5" i="12"/>
  <c r="EH11" i="12"/>
  <c r="EH8" i="12"/>
  <c r="EI3" i="12"/>
  <c r="EI9" i="12"/>
  <c r="EI4" i="12"/>
  <c r="EI10" i="12"/>
  <c r="EI5" i="12"/>
  <c r="EI11" i="12"/>
  <c r="EI8" i="12"/>
  <c r="EJ3" i="12"/>
  <c r="EJ9" i="12"/>
  <c r="EJ4" i="12"/>
  <c r="EJ10" i="12"/>
  <c r="EJ5" i="12"/>
  <c r="EJ11" i="12"/>
  <c r="EJ8" i="12"/>
  <c r="EK3" i="12"/>
  <c r="EK9" i="12"/>
  <c r="EK4" i="12"/>
  <c r="EK10" i="12"/>
  <c r="EK5" i="12"/>
  <c r="EK11" i="12"/>
  <c r="EK8" i="12"/>
  <c r="EL3" i="12"/>
  <c r="EL9" i="12"/>
  <c r="EL4" i="12"/>
  <c r="EL10" i="12"/>
  <c r="EL5" i="12"/>
  <c r="EL11" i="12"/>
  <c r="EL8" i="12"/>
  <c r="EM3" i="12"/>
  <c r="EM9" i="12"/>
  <c r="EM4" i="12"/>
  <c r="EM10" i="12"/>
  <c r="EM5" i="12"/>
  <c r="EM11" i="12"/>
  <c r="EM8" i="12"/>
  <c r="EN3" i="12"/>
  <c r="EN9" i="12"/>
  <c r="EN4" i="12"/>
  <c r="EN10" i="12"/>
  <c r="EN5" i="12"/>
  <c r="EN11" i="12"/>
  <c r="EN8" i="12"/>
  <c r="EO3" i="12"/>
  <c r="EO9" i="12"/>
  <c r="EO4" i="12"/>
  <c r="EO10" i="12"/>
  <c r="EO5" i="12"/>
  <c r="EO11" i="12"/>
  <c r="EO8" i="12"/>
  <c r="EP3" i="12"/>
  <c r="EP9" i="12"/>
  <c r="EP4" i="12"/>
  <c r="EP10" i="12"/>
  <c r="EP5" i="12"/>
  <c r="EP11" i="12"/>
  <c r="EP8" i="12"/>
  <c r="EQ9" i="12"/>
  <c r="EQ10" i="12"/>
  <c r="EQ11" i="12"/>
  <c r="EQ8" i="12"/>
  <c r="ER9" i="12"/>
  <c r="ER10" i="12"/>
  <c r="ER11" i="12"/>
  <c r="ER8" i="12"/>
  <c r="ES9" i="12"/>
  <c r="ES10" i="12"/>
  <c r="ES11" i="12"/>
  <c r="ES8" i="12"/>
  <c r="ET9" i="12"/>
  <c r="ET10" i="12"/>
  <c r="ET11" i="12"/>
  <c r="ET8" i="12"/>
  <c r="EU9" i="12"/>
  <c r="EU10" i="12"/>
  <c r="EU11" i="12"/>
  <c r="EU8" i="12"/>
  <c r="EQ12" i="12"/>
  <c r="ER12" i="12"/>
  <c r="ES12" i="12"/>
  <c r="ET12" i="12"/>
  <c r="EU12" i="12"/>
  <c r="B14" i="12"/>
  <c r="B15" i="12"/>
  <c r="B16" i="12"/>
  <c r="B17" i="12"/>
  <c r="C15" i="12"/>
  <c r="C16" i="12"/>
  <c r="C17" i="12"/>
  <c r="C14" i="12"/>
  <c r="D15" i="12"/>
  <c r="D16" i="12"/>
  <c r="D17" i="12"/>
  <c r="D14" i="12"/>
  <c r="E15" i="12"/>
  <c r="E16" i="12"/>
  <c r="E17" i="12"/>
  <c r="E14" i="12"/>
  <c r="F15" i="12"/>
  <c r="F16" i="12"/>
  <c r="F17" i="12"/>
  <c r="F14" i="12"/>
  <c r="G15" i="12"/>
  <c r="G16" i="12"/>
  <c r="G17" i="12"/>
  <c r="G14" i="12"/>
  <c r="H15" i="12"/>
  <c r="H16" i="12"/>
  <c r="H17" i="12"/>
  <c r="H14" i="12"/>
  <c r="I15" i="12"/>
  <c r="I16" i="12"/>
  <c r="I17" i="12"/>
  <c r="I14" i="12"/>
  <c r="J15" i="12"/>
  <c r="J16" i="12"/>
  <c r="J17" i="12"/>
  <c r="J14" i="12"/>
  <c r="K15" i="12"/>
  <c r="K16" i="12"/>
  <c r="K17" i="12"/>
  <c r="K14" i="12"/>
  <c r="L15" i="12"/>
  <c r="L16" i="12"/>
  <c r="L17" i="12"/>
  <c r="L14" i="12"/>
  <c r="M15" i="12"/>
  <c r="M16" i="12"/>
  <c r="M17" i="12"/>
  <c r="M14" i="12"/>
  <c r="N15" i="12"/>
  <c r="N16" i="12"/>
  <c r="N17" i="12"/>
  <c r="N14" i="12"/>
  <c r="O15" i="12"/>
  <c r="O16" i="12"/>
  <c r="O17" i="12"/>
  <c r="O14" i="12"/>
  <c r="P15" i="12"/>
  <c r="P16" i="12"/>
  <c r="P17" i="12"/>
  <c r="P14" i="12"/>
  <c r="Q15" i="12"/>
  <c r="Q16" i="12"/>
  <c r="Q17" i="12"/>
  <c r="Q14" i="12"/>
  <c r="R15" i="12"/>
  <c r="R16" i="12"/>
  <c r="R17" i="12"/>
  <c r="R14" i="12"/>
  <c r="S15" i="12"/>
  <c r="S16" i="12"/>
  <c r="S17" i="12"/>
  <c r="S14" i="12"/>
  <c r="T15" i="12"/>
  <c r="T16" i="12"/>
  <c r="T17" i="12"/>
  <c r="T14" i="12"/>
  <c r="U15" i="12"/>
  <c r="U16" i="12"/>
  <c r="U17" i="12"/>
  <c r="U14" i="12"/>
  <c r="V15" i="12"/>
  <c r="V16" i="12"/>
  <c r="V17" i="12"/>
  <c r="V14" i="12"/>
  <c r="W15" i="12"/>
  <c r="W16" i="12"/>
  <c r="W17" i="12"/>
  <c r="W14" i="12"/>
  <c r="X15" i="12"/>
  <c r="X16" i="12"/>
  <c r="X17" i="12"/>
  <c r="X14" i="12"/>
  <c r="Y15" i="12"/>
  <c r="Y16" i="12"/>
  <c r="Y17" i="12"/>
  <c r="Y14" i="12"/>
  <c r="Z15" i="12"/>
  <c r="Z16" i="12"/>
  <c r="Z17" i="12"/>
  <c r="Z14" i="12"/>
  <c r="AA15" i="12"/>
  <c r="AA16" i="12"/>
  <c r="AA17" i="12"/>
  <c r="AA14" i="12"/>
  <c r="AB15" i="12"/>
  <c r="AB16" i="12"/>
  <c r="AB17" i="12"/>
  <c r="AB14" i="12"/>
  <c r="AC15" i="12"/>
  <c r="AC16" i="12"/>
  <c r="AC17" i="12"/>
  <c r="AC14" i="12"/>
  <c r="AD15" i="12"/>
  <c r="AD16" i="12"/>
  <c r="AD17" i="12"/>
  <c r="AD14" i="12"/>
  <c r="AE15" i="12"/>
  <c r="AE16" i="12"/>
  <c r="AE17" i="12"/>
  <c r="AE14" i="12"/>
  <c r="AF15" i="12"/>
  <c r="AF16" i="12"/>
  <c r="AF17" i="12"/>
  <c r="AF14" i="12"/>
  <c r="AG15" i="12"/>
  <c r="AG16" i="12"/>
  <c r="AG17" i="12"/>
  <c r="AG14" i="12"/>
  <c r="AH15" i="12"/>
  <c r="AH16" i="12"/>
  <c r="AH17" i="12"/>
  <c r="AH14" i="12"/>
  <c r="AI15" i="12"/>
  <c r="AI16" i="12"/>
  <c r="AI17" i="12"/>
  <c r="AI14" i="12"/>
  <c r="AJ15" i="12"/>
  <c r="AJ16" i="12"/>
  <c r="AJ17" i="12"/>
  <c r="AJ14" i="12"/>
  <c r="AK15" i="12"/>
  <c r="AK16" i="12"/>
  <c r="AK17" i="12"/>
  <c r="AK14" i="12"/>
  <c r="AL15" i="12"/>
  <c r="AL16" i="12"/>
  <c r="AL17" i="12"/>
  <c r="AL14" i="12"/>
  <c r="AM15" i="12"/>
  <c r="AM16" i="12"/>
  <c r="AM17" i="12"/>
  <c r="AM14" i="12"/>
  <c r="AN15" i="12"/>
  <c r="AN16" i="12"/>
  <c r="AN17" i="12"/>
  <c r="AN14" i="12"/>
  <c r="AO15" i="12"/>
  <c r="AO16" i="12"/>
  <c r="AO17" i="12"/>
  <c r="AO14" i="12"/>
  <c r="AP15" i="12"/>
  <c r="AP16" i="12"/>
  <c r="AP17" i="12"/>
  <c r="AP14" i="12"/>
  <c r="AQ15" i="12"/>
  <c r="AQ16" i="12"/>
  <c r="AQ17" i="12"/>
  <c r="AQ14" i="12"/>
  <c r="AR15" i="12"/>
  <c r="AR16" i="12"/>
  <c r="AR17" i="12"/>
  <c r="AR14" i="12"/>
  <c r="AS15" i="12"/>
  <c r="AS16" i="12"/>
  <c r="AS17" i="12"/>
  <c r="AS14" i="12"/>
  <c r="AT15" i="12"/>
  <c r="AT16" i="12"/>
  <c r="AT17" i="12"/>
  <c r="AT14" i="12"/>
  <c r="AU15" i="12"/>
  <c r="AU16" i="12"/>
  <c r="AU17" i="12"/>
  <c r="AU14" i="12"/>
  <c r="AV15" i="12"/>
  <c r="AV16" i="12"/>
  <c r="AV17" i="12"/>
  <c r="AV14" i="12"/>
  <c r="AW15" i="12"/>
  <c r="AW16" i="12"/>
  <c r="AW17" i="12"/>
  <c r="AW14" i="12"/>
  <c r="AX15" i="12"/>
  <c r="AX16" i="12"/>
  <c r="AX17" i="12"/>
  <c r="AX14" i="12"/>
  <c r="AY15" i="12"/>
  <c r="AY16" i="12"/>
  <c r="AY17" i="12"/>
  <c r="AY14" i="12"/>
  <c r="AZ15" i="12"/>
  <c r="AZ16" i="12"/>
  <c r="AZ17" i="12"/>
  <c r="AZ14" i="12"/>
  <c r="BA15" i="12"/>
  <c r="BA16" i="12"/>
  <c r="BA17" i="12"/>
  <c r="BA14" i="12"/>
  <c r="BB15" i="12"/>
  <c r="BB16" i="12"/>
  <c r="BB17" i="12"/>
  <c r="BB14" i="12"/>
  <c r="BC15" i="12"/>
  <c r="BC16" i="12"/>
  <c r="BC17" i="12"/>
  <c r="BC14" i="12"/>
  <c r="BD15" i="12"/>
  <c r="BD16" i="12"/>
  <c r="BD17" i="12"/>
  <c r="BD14" i="12"/>
  <c r="BE15" i="12"/>
  <c r="BE16" i="12"/>
  <c r="BE17" i="12"/>
  <c r="BE14" i="12"/>
  <c r="BF15" i="12"/>
  <c r="BF16" i="12"/>
  <c r="BF17" i="12"/>
  <c r="BF14" i="12"/>
  <c r="BG15" i="12"/>
  <c r="BG16" i="12"/>
  <c r="BG17" i="12"/>
  <c r="BG14" i="12"/>
  <c r="BH15" i="12"/>
  <c r="BH16" i="12"/>
  <c r="BH17" i="12"/>
  <c r="BH14" i="12"/>
  <c r="BI15" i="12"/>
  <c r="BI16" i="12"/>
  <c r="BI17" i="12"/>
  <c r="BI14" i="12"/>
  <c r="BJ15" i="12"/>
  <c r="BJ16" i="12"/>
  <c r="BJ17" i="12"/>
  <c r="BJ14" i="12"/>
  <c r="BK15" i="12"/>
  <c r="BK16" i="12"/>
  <c r="BK17" i="12"/>
  <c r="BK14" i="12"/>
  <c r="BL15" i="12"/>
  <c r="BL16" i="12"/>
  <c r="BL17" i="12"/>
  <c r="BL14" i="12"/>
  <c r="BM15" i="12"/>
  <c r="BM16" i="12"/>
  <c r="BM17" i="12"/>
  <c r="BM14" i="12"/>
  <c r="BN15" i="12"/>
  <c r="BN16" i="12"/>
  <c r="BN17" i="12"/>
  <c r="BN14" i="12"/>
  <c r="BO15" i="12"/>
  <c r="BO16" i="12"/>
  <c r="BO17" i="12"/>
  <c r="BO14" i="12"/>
  <c r="BP15" i="12"/>
  <c r="BP16" i="12"/>
  <c r="BP17" i="12"/>
  <c r="BP14" i="12"/>
  <c r="BQ15" i="12"/>
  <c r="BQ16" i="12"/>
  <c r="BQ17" i="12"/>
  <c r="BQ14" i="12"/>
  <c r="BR15" i="12"/>
  <c r="BR16" i="12"/>
  <c r="BR17" i="12"/>
  <c r="BR14" i="12"/>
  <c r="BS15" i="12"/>
  <c r="BS16" i="12"/>
  <c r="BS17" i="12"/>
  <c r="BS14" i="12"/>
  <c r="BT15" i="12"/>
  <c r="BT16" i="12"/>
  <c r="BT17" i="12"/>
  <c r="BT14" i="12"/>
  <c r="BU15" i="12"/>
  <c r="BU16" i="12"/>
  <c r="BU17" i="12"/>
  <c r="BU14" i="12"/>
  <c r="BV15" i="12"/>
  <c r="BV16" i="12"/>
  <c r="BV17" i="12"/>
  <c r="BV14" i="12"/>
  <c r="BW15" i="12"/>
  <c r="BW16" i="12"/>
  <c r="BW17" i="12"/>
  <c r="BW14" i="12"/>
  <c r="BX15" i="12"/>
  <c r="BX16" i="12"/>
  <c r="BX17" i="12"/>
  <c r="BX14" i="12"/>
  <c r="BY15" i="12"/>
  <c r="BY16" i="12"/>
  <c r="BY17" i="12"/>
  <c r="BY14" i="12"/>
  <c r="BZ15" i="12"/>
  <c r="BZ16" i="12"/>
  <c r="BZ17" i="12"/>
  <c r="BZ14" i="12"/>
  <c r="CA15" i="12"/>
  <c r="CA16" i="12"/>
  <c r="CA17" i="12"/>
  <c r="CA14" i="12"/>
  <c r="CB15" i="12"/>
  <c r="CB16" i="12"/>
  <c r="CB17" i="12"/>
  <c r="CB14" i="12"/>
  <c r="CC15" i="12"/>
  <c r="CC16" i="12"/>
  <c r="CC17" i="12"/>
  <c r="CC14" i="12"/>
  <c r="CD15" i="12"/>
  <c r="CD16" i="12"/>
  <c r="CD17" i="12"/>
  <c r="CD14" i="12"/>
  <c r="CE15" i="12"/>
  <c r="CE16" i="12"/>
  <c r="CE17" i="12"/>
  <c r="CE14" i="12"/>
  <c r="CF15" i="12"/>
  <c r="CF16" i="12"/>
  <c r="CF17" i="12"/>
  <c r="CF14" i="12"/>
  <c r="CG15" i="12"/>
  <c r="CG16" i="12"/>
  <c r="CG17" i="12"/>
  <c r="CG14" i="12"/>
  <c r="CH15" i="12"/>
  <c r="CH16" i="12"/>
  <c r="CH17" i="12"/>
  <c r="CH14" i="12"/>
  <c r="CI15" i="12"/>
  <c r="CI16" i="12"/>
  <c r="CI17" i="12"/>
  <c r="CI14" i="12"/>
  <c r="CJ15" i="12"/>
  <c r="CJ16" i="12"/>
  <c r="CJ17" i="12"/>
  <c r="CJ14" i="12"/>
  <c r="CK15" i="12"/>
  <c r="CK16" i="12"/>
  <c r="CK17" i="12"/>
  <c r="CK14" i="12"/>
  <c r="CL15" i="12"/>
  <c r="CL16" i="12"/>
  <c r="CL17" i="12"/>
  <c r="CL14" i="12"/>
  <c r="CM15" i="12"/>
  <c r="CM16" i="12"/>
  <c r="CM17" i="12"/>
  <c r="CM14" i="12"/>
  <c r="CN15" i="12"/>
  <c r="CN16" i="12"/>
  <c r="CN17" i="12"/>
  <c r="CN14" i="12"/>
  <c r="CO15" i="12"/>
  <c r="CO16" i="12"/>
  <c r="CO17" i="12"/>
  <c r="CO14" i="12"/>
  <c r="CP15" i="12"/>
  <c r="CP16" i="12"/>
  <c r="CP17" i="12"/>
  <c r="CP14" i="12"/>
  <c r="CQ15" i="12"/>
  <c r="CQ16" i="12"/>
  <c r="CQ17" i="12"/>
  <c r="CQ14" i="12"/>
  <c r="CR15" i="12"/>
  <c r="CR16" i="12"/>
  <c r="CR17" i="12"/>
  <c r="CR14" i="12"/>
  <c r="CS15" i="12"/>
  <c r="CS16" i="12"/>
  <c r="CS17" i="12"/>
  <c r="CS14" i="12"/>
  <c r="CT15" i="12"/>
  <c r="CT16" i="12"/>
  <c r="CT17" i="12"/>
  <c r="CT14" i="12"/>
  <c r="CU15" i="12"/>
  <c r="CU16" i="12"/>
  <c r="CU17" i="12"/>
  <c r="CU14" i="12"/>
  <c r="CV15" i="12"/>
  <c r="CV16" i="12"/>
  <c r="CV17" i="12"/>
  <c r="CV14" i="12"/>
  <c r="CW15" i="12"/>
  <c r="CW16" i="12"/>
  <c r="CW17" i="12"/>
  <c r="CW14" i="12"/>
  <c r="CX15" i="12"/>
  <c r="CX16" i="12"/>
  <c r="CX17" i="12"/>
  <c r="CX14" i="12"/>
  <c r="CY15" i="12"/>
  <c r="CY16" i="12"/>
  <c r="CY17" i="12"/>
  <c r="CY14" i="12"/>
  <c r="CZ15" i="12"/>
  <c r="CZ16" i="12"/>
  <c r="CZ17" i="12"/>
  <c r="CZ14" i="12"/>
  <c r="DA15" i="12"/>
  <c r="DA16" i="12"/>
  <c r="DA17" i="12"/>
  <c r="DA14" i="12"/>
  <c r="DB15" i="12"/>
  <c r="DB16" i="12"/>
  <c r="DB17" i="12"/>
  <c r="DB14" i="12"/>
  <c r="DC15" i="12"/>
  <c r="DC16" i="12"/>
  <c r="DC17" i="12"/>
  <c r="DC14" i="12"/>
  <c r="DD15" i="12"/>
  <c r="DD16" i="12"/>
  <c r="DD17" i="12"/>
  <c r="DD14" i="12"/>
  <c r="DE15" i="12"/>
  <c r="DE16" i="12"/>
  <c r="DE17" i="12"/>
  <c r="DE14" i="12"/>
  <c r="DF15" i="12"/>
  <c r="DF16" i="12"/>
  <c r="DF17" i="12"/>
  <c r="DF14" i="12"/>
  <c r="DG15" i="12"/>
  <c r="DG16" i="12"/>
  <c r="DG17" i="12"/>
  <c r="DG14" i="12"/>
  <c r="DH15" i="12"/>
  <c r="DH16" i="12"/>
  <c r="DH17" i="12"/>
  <c r="DH14" i="12"/>
  <c r="DI15" i="12"/>
  <c r="DI16" i="12"/>
  <c r="DI17" i="12"/>
  <c r="DI14" i="12"/>
  <c r="DJ15" i="12"/>
  <c r="DJ16" i="12"/>
  <c r="DJ17" i="12"/>
  <c r="DJ14" i="12"/>
  <c r="DK15" i="12"/>
  <c r="DK16" i="12"/>
  <c r="DK17" i="12"/>
  <c r="DK14" i="12"/>
  <c r="DL15" i="12"/>
  <c r="DL16" i="12"/>
  <c r="DL17" i="12"/>
  <c r="DL14" i="12"/>
  <c r="DM15" i="12"/>
  <c r="DM16" i="12"/>
  <c r="DM17" i="12"/>
  <c r="DM14" i="12"/>
  <c r="DN15" i="12"/>
  <c r="DN16" i="12"/>
  <c r="DN17" i="12"/>
  <c r="DN14" i="12"/>
  <c r="DO15" i="12"/>
  <c r="DO16" i="12"/>
  <c r="DO17" i="12"/>
  <c r="DO14" i="12"/>
  <c r="DP15" i="12"/>
  <c r="DP16" i="12"/>
  <c r="DP17" i="12"/>
  <c r="DP14" i="12"/>
  <c r="DQ15" i="12"/>
  <c r="DQ16" i="12"/>
  <c r="DQ17" i="12"/>
  <c r="DQ14" i="12"/>
  <c r="DR15" i="12"/>
  <c r="DR16" i="12"/>
  <c r="DR17" i="12"/>
  <c r="DR14" i="12"/>
  <c r="DS15" i="12"/>
  <c r="DS16" i="12"/>
  <c r="DS17" i="12"/>
  <c r="DS14" i="12"/>
  <c r="DT15" i="12"/>
  <c r="DT16" i="12"/>
  <c r="DT17" i="12"/>
  <c r="DT14" i="12"/>
  <c r="DU15" i="12"/>
  <c r="DU16" i="12"/>
  <c r="DU17" i="12"/>
  <c r="DU14" i="12"/>
  <c r="DV15" i="12"/>
  <c r="DV16" i="12"/>
  <c r="DV17" i="12"/>
  <c r="DV14" i="12"/>
  <c r="DW15" i="12"/>
  <c r="DW16" i="12"/>
  <c r="DW17" i="12"/>
  <c r="DW14" i="12"/>
  <c r="DX15" i="12"/>
  <c r="DX16" i="12"/>
  <c r="DX17" i="12"/>
  <c r="DX14" i="12"/>
  <c r="DY15" i="12"/>
  <c r="DY16" i="12"/>
  <c r="DY17" i="12"/>
  <c r="DY14" i="12"/>
  <c r="DZ15" i="12"/>
  <c r="DZ16" i="12"/>
  <c r="DZ17" i="12"/>
  <c r="DZ14" i="12"/>
  <c r="EA15" i="12"/>
  <c r="EA16" i="12"/>
  <c r="EA17" i="12"/>
  <c r="EA14" i="12"/>
  <c r="EB15" i="12"/>
  <c r="EB16" i="12"/>
  <c r="EB17" i="12"/>
  <c r="EB14" i="12"/>
  <c r="EC15" i="12"/>
  <c r="EC16" i="12"/>
  <c r="EC17" i="12"/>
  <c r="EC14" i="12"/>
  <c r="ED15" i="12"/>
  <c r="ED16" i="12"/>
  <c r="ED17" i="12"/>
  <c r="ED14" i="12"/>
  <c r="EE15" i="12"/>
  <c r="EE16" i="12"/>
  <c r="EE17" i="12"/>
  <c r="EE14" i="12"/>
  <c r="EF15" i="12"/>
  <c r="EF16" i="12"/>
  <c r="EF17" i="12"/>
  <c r="EF14" i="12"/>
  <c r="EG15" i="12"/>
  <c r="EG16" i="12"/>
  <c r="EG17" i="12"/>
  <c r="EG14" i="12"/>
  <c r="EH15" i="12"/>
  <c r="EH16" i="12"/>
  <c r="EH17" i="12"/>
  <c r="EH14" i="12"/>
  <c r="EI15" i="12"/>
  <c r="EI16" i="12"/>
  <c r="EI17" i="12"/>
  <c r="EI14" i="12"/>
  <c r="EJ15" i="12"/>
  <c r="EJ16" i="12"/>
  <c r="EJ17" i="12"/>
  <c r="EJ14" i="12"/>
  <c r="EK15" i="12"/>
  <c r="EK16" i="12"/>
  <c r="EK17" i="12"/>
  <c r="EK14" i="12"/>
  <c r="EL15" i="12"/>
  <c r="EL16" i="12"/>
  <c r="EL17" i="12"/>
  <c r="EL14" i="12"/>
  <c r="EM15" i="12"/>
  <c r="EM16" i="12"/>
  <c r="EM17" i="12"/>
  <c r="EM14" i="12"/>
  <c r="EN15" i="12"/>
  <c r="EN16" i="12"/>
  <c r="EN17" i="12"/>
  <c r="EN14" i="12"/>
  <c r="EO15" i="12"/>
  <c r="EO16" i="12"/>
  <c r="EO17" i="12"/>
  <c r="EO14" i="12"/>
  <c r="EP15" i="12"/>
  <c r="EP16" i="12"/>
  <c r="EP17" i="12"/>
  <c r="EP14" i="12"/>
  <c r="EQ15" i="12"/>
  <c r="EQ16" i="12"/>
  <c r="EQ17" i="12"/>
  <c r="EQ14" i="12"/>
  <c r="ER15" i="12"/>
  <c r="ER16" i="12"/>
  <c r="ER17" i="12"/>
  <c r="ER14" i="12"/>
  <c r="ES15" i="12"/>
  <c r="ES16" i="12"/>
  <c r="ES17" i="12"/>
  <c r="ES14" i="12"/>
  <c r="ET15" i="12"/>
  <c r="ET16" i="12"/>
  <c r="ET17" i="12"/>
  <c r="ET14" i="12"/>
  <c r="EU15" i="12"/>
  <c r="EU16" i="12"/>
  <c r="EU17" i="12"/>
  <c r="EU14" i="12"/>
  <c r="EQ18" i="12"/>
  <c r="ER18" i="12"/>
  <c r="ES18" i="12"/>
  <c r="ET18" i="12"/>
  <c r="EU18" i="12"/>
  <c r="EQ21" i="12"/>
  <c r="ER21" i="12"/>
  <c r="ES21" i="12"/>
  <c r="ET21" i="12"/>
  <c r="EU21" i="12"/>
  <c r="EQ22" i="12"/>
  <c r="ER22" i="12"/>
  <c r="ES22" i="12"/>
  <c r="ET22" i="12"/>
  <c r="EU22" i="12"/>
  <c r="EQ23" i="12"/>
  <c r="ER23" i="12"/>
  <c r="ES23" i="12"/>
  <c r="ET23" i="12"/>
  <c r="EU23" i="12"/>
  <c r="EQ24" i="12"/>
  <c r="ER24" i="12"/>
  <c r="ES24" i="12"/>
  <c r="ET24" i="12"/>
  <c r="EU24" i="12"/>
  <c r="EQ26" i="12"/>
  <c r="ER26" i="12"/>
  <c r="ES26" i="12"/>
  <c r="ET26" i="12"/>
  <c r="EU26" i="12"/>
  <c r="EQ27" i="12"/>
  <c r="ER27" i="12"/>
  <c r="ES27" i="12"/>
  <c r="ET27" i="12"/>
  <c r="EU27" i="12"/>
  <c r="EQ28" i="12"/>
  <c r="ER28" i="12"/>
  <c r="ES28" i="12"/>
  <c r="ET28" i="12"/>
  <c r="EU28" i="12"/>
  <c r="EQ29" i="12"/>
  <c r="ER29" i="12"/>
  <c r="ES29" i="12"/>
  <c r="ET29" i="12"/>
  <c r="EU29" i="12"/>
  <c r="CX6" i="12"/>
  <c r="CY6" i="12"/>
  <c r="CZ6" i="12"/>
  <c r="DA6" i="12"/>
  <c r="DB6" i="12"/>
  <c r="DC6" i="12"/>
  <c r="DD6" i="12"/>
  <c r="DE6" i="12"/>
  <c r="DF6" i="12"/>
  <c r="DG6" i="12"/>
  <c r="DH6" i="12"/>
  <c r="DI6" i="12"/>
  <c r="DJ6" i="12"/>
  <c r="DK6" i="12"/>
  <c r="DL6" i="12"/>
  <c r="DM6" i="12"/>
  <c r="DN6" i="12"/>
  <c r="DO6" i="12"/>
  <c r="DP6" i="12"/>
  <c r="DQ6" i="12"/>
  <c r="DR6" i="12"/>
  <c r="DS6" i="12"/>
  <c r="DT6" i="12"/>
  <c r="DU6" i="12"/>
  <c r="DV6" i="12"/>
  <c r="DW6" i="12"/>
  <c r="DX6" i="12"/>
  <c r="DY6" i="12"/>
  <c r="DZ6" i="12"/>
  <c r="EA6" i="12"/>
  <c r="EB6" i="12"/>
  <c r="EC6" i="12"/>
  <c r="ED6" i="12"/>
  <c r="EE6" i="12"/>
  <c r="EF6" i="12"/>
  <c r="EG6" i="12"/>
  <c r="EH6" i="12"/>
  <c r="EI6" i="12"/>
  <c r="EJ6" i="12"/>
  <c r="EK6" i="12"/>
  <c r="EL6" i="12"/>
  <c r="EM6" i="12"/>
  <c r="EN6" i="12"/>
  <c r="EO6" i="12"/>
  <c r="EP6" i="12"/>
  <c r="CX12" i="12"/>
  <c r="CY12" i="12"/>
  <c r="CZ12" i="12"/>
  <c r="DA12" i="12"/>
  <c r="DB12" i="12"/>
  <c r="DC12" i="12"/>
  <c r="DD12" i="12"/>
  <c r="DE12" i="12"/>
  <c r="DF12" i="12"/>
  <c r="DG12" i="12"/>
  <c r="DH12" i="12"/>
  <c r="DI12" i="12"/>
  <c r="DJ12" i="12"/>
  <c r="DK12" i="12"/>
  <c r="DL12" i="12"/>
  <c r="DM12" i="12"/>
  <c r="DN12" i="12"/>
  <c r="DO12" i="12"/>
  <c r="DP12" i="12"/>
  <c r="DQ12" i="12"/>
  <c r="DR12" i="12"/>
  <c r="DS12" i="12"/>
  <c r="DT12" i="12"/>
  <c r="DU12" i="12"/>
  <c r="DV12" i="12"/>
  <c r="DW12" i="12"/>
  <c r="DX12" i="12"/>
  <c r="DY12" i="12"/>
  <c r="DZ12" i="12"/>
  <c r="EA12" i="12"/>
  <c r="EB12" i="12"/>
  <c r="EC12" i="12"/>
  <c r="ED12" i="12"/>
  <c r="EE12" i="12"/>
  <c r="EF12" i="12"/>
  <c r="EG12" i="12"/>
  <c r="EH12" i="12"/>
  <c r="EI12" i="12"/>
  <c r="EJ12" i="12"/>
  <c r="EK12" i="12"/>
  <c r="EL12" i="12"/>
  <c r="EM12" i="12"/>
  <c r="EN12" i="12"/>
  <c r="EO12" i="12"/>
  <c r="EP12" i="12"/>
  <c r="CX18" i="12"/>
  <c r="CY18" i="12"/>
  <c r="CZ18" i="12"/>
  <c r="DA18" i="12"/>
  <c r="DB18" i="12"/>
  <c r="DC18" i="12"/>
  <c r="DD18" i="12"/>
  <c r="DE18" i="12"/>
  <c r="DF18" i="12"/>
  <c r="DG18" i="12"/>
  <c r="DH18" i="12"/>
  <c r="DI18" i="12"/>
  <c r="DJ18" i="12"/>
  <c r="DK18" i="12"/>
  <c r="DL18" i="12"/>
  <c r="DM18" i="12"/>
  <c r="DN18" i="12"/>
  <c r="DO18" i="12"/>
  <c r="DP18" i="12"/>
  <c r="DQ18" i="12"/>
  <c r="DR18" i="12"/>
  <c r="DS18" i="12"/>
  <c r="DT18" i="12"/>
  <c r="DU18" i="12"/>
  <c r="DV18" i="12"/>
  <c r="DW18" i="12"/>
  <c r="DX18" i="12"/>
  <c r="DY18" i="12"/>
  <c r="DZ18" i="12"/>
  <c r="EA18" i="12"/>
  <c r="EB18" i="12"/>
  <c r="EC18" i="12"/>
  <c r="ED18" i="12"/>
  <c r="EE18" i="12"/>
  <c r="EF18" i="12"/>
  <c r="EG18" i="12"/>
  <c r="EH18" i="12"/>
  <c r="EI18" i="12"/>
  <c r="EJ18" i="12"/>
  <c r="EK18" i="12"/>
  <c r="EL18" i="12"/>
  <c r="EM18" i="12"/>
  <c r="EN18" i="12"/>
  <c r="EO18" i="12"/>
  <c r="EP18" i="12"/>
  <c r="CX21" i="12"/>
  <c r="CY21" i="12"/>
  <c r="CZ21" i="12"/>
  <c r="DA21" i="12"/>
  <c r="DB21" i="12"/>
  <c r="DC21" i="12"/>
  <c r="DD21" i="12"/>
  <c r="DE21" i="12"/>
  <c r="DF21" i="12"/>
  <c r="DG21" i="12"/>
  <c r="DH21" i="12"/>
  <c r="DI21" i="12"/>
  <c r="DJ21" i="12"/>
  <c r="DK21" i="12"/>
  <c r="DL21" i="12"/>
  <c r="DM21" i="12"/>
  <c r="DN21" i="12"/>
  <c r="DO21" i="12"/>
  <c r="DP21" i="12"/>
  <c r="DQ21" i="12"/>
  <c r="DR21" i="12"/>
  <c r="DS21" i="12"/>
  <c r="DT21" i="12"/>
  <c r="DU21" i="12"/>
  <c r="DV21" i="12"/>
  <c r="DW21" i="12"/>
  <c r="DX21" i="12"/>
  <c r="DY21" i="12"/>
  <c r="DZ21" i="12"/>
  <c r="EA21" i="12"/>
  <c r="EB21" i="12"/>
  <c r="EC21" i="12"/>
  <c r="ED21" i="12"/>
  <c r="EE21" i="12"/>
  <c r="EF21" i="12"/>
  <c r="EG21" i="12"/>
  <c r="EH21" i="12"/>
  <c r="EI21" i="12"/>
  <c r="EJ21" i="12"/>
  <c r="EK21" i="12"/>
  <c r="EL21" i="12"/>
  <c r="EM21" i="12"/>
  <c r="EN21" i="12"/>
  <c r="EO21" i="12"/>
  <c r="EP21" i="12"/>
  <c r="CX22" i="12"/>
  <c r="CY22" i="12"/>
  <c r="CZ22" i="12"/>
  <c r="DA22" i="12"/>
  <c r="DB22" i="12"/>
  <c r="DC22" i="12"/>
  <c r="DD22" i="12"/>
  <c r="DE22" i="12"/>
  <c r="DF22" i="12"/>
  <c r="DG22" i="12"/>
  <c r="DH22" i="12"/>
  <c r="DI22" i="12"/>
  <c r="DJ22" i="12"/>
  <c r="DK22" i="12"/>
  <c r="DL22" i="12"/>
  <c r="DM22" i="12"/>
  <c r="DN22" i="12"/>
  <c r="DO22" i="12"/>
  <c r="DP22" i="12"/>
  <c r="DQ22" i="12"/>
  <c r="DR22" i="12"/>
  <c r="DS22" i="12"/>
  <c r="DT22" i="12"/>
  <c r="DU22" i="12"/>
  <c r="DV22" i="12"/>
  <c r="DW22" i="12"/>
  <c r="DX22" i="12"/>
  <c r="DY22" i="12"/>
  <c r="DZ22" i="12"/>
  <c r="EA22" i="12"/>
  <c r="EB22" i="12"/>
  <c r="EC22" i="12"/>
  <c r="ED22" i="12"/>
  <c r="EE22" i="12"/>
  <c r="EF22" i="12"/>
  <c r="EG22" i="12"/>
  <c r="EH22" i="12"/>
  <c r="EI22" i="12"/>
  <c r="EJ22" i="12"/>
  <c r="EK22" i="12"/>
  <c r="EL22" i="12"/>
  <c r="EM22" i="12"/>
  <c r="EN22" i="12"/>
  <c r="EO22" i="12"/>
  <c r="EP22" i="12"/>
  <c r="CX23" i="12"/>
  <c r="CY23" i="12"/>
  <c r="CZ23" i="12"/>
  <c r="DA23" i="12"/>
  <c r="DB23" i="12"/>
  <c r="DC23" i="12"/>
  <c r="DD23" i="12"/>
  <c r="DE23" i="12"/>
  <c r="DF23" i="12"/>
  <c r="DG23" i="12"/>
  <c r="DH23" i="12"/>
  <c r="DI23" i="12"/>
  <c r="DJ23" i="12"/>
  <c r="DK23" i="12"/>
  <c r="DL23" i="12"/>
  <c r="DM23" i="12"/>
  <c r="DN23" i="12"/>
  <c r="DO23" i="12"/>
  <c r="DP23" i="12"/>
  <c r="DQ23" i="12"/>
  <c r="DR23" i="12"/>
  <c r="DS23" i="12"/>
  <c r="DT23" i="12"/>
  <c r="DU23" i="12"/>
  <c r="DV23" i="12"/>
  <c r="DW23" i="12"/>
  <c r="DX23" i="12"/>
  <c r="DY23" i="12"/>
  <c r="DZ23" i="12"/>
  <c r="EA23" i="12"/>
  <c r="EB23" i="12"/>
  <c r="EC23" i="12"/>
  <c r="ED23" i="12"/>
  <c r="EE23" i="12"/>
  <c r="EF23" i="12"/>
  <c r="EG23" i="12"/>
  <c r="EH23" i="12"/>
  <c r="EI23" i="12"/>
  <c r="EJ23" i="12"/>
  <c r="EK23" i="12"/>
  <c r="EL23" i="12"/>
  <c r="EM23" i="12"/>
  <c r="EN23" i="12"/>
  <c r="EO23" i="12"/>
  <c r="EP23" i="12"/>
  <c r="CX24" i="12"/>
  <c r="CY24" i="12"/>
  <c r="CZ24" i="12"/>
  <c r="DA24" i="12"/>
  <c r="DB24" i="12"/>
  <c r="DC24" i="12"/>
  <c r="DD24" i="12"/>
  <c r="DE24" i="12"/>
  <c r="DF24" i="12"/>
  <c r="DG24" i="12"/>
  <c r="DH24" i="12"/>
  <c r="DI24" i="12"/>
  <c r="DJ24" i="12"/>
  <c r="DK24" i="12"/>
  <c r="DL24" i="12"/>
  <c r="DM24" i="12"/>
  <c r="DN24" i="12"/>
  <c r="DO24" i="12"/>
  <c r="DP24" i="12"/>
  <c r="DQ24" i="12"/>
  <c r="DR24" i="12"/>
  <c r="DS24" i="12"/>
  <c r="DT24" i="12"/>
  <c r="DU24" i="12"/>
  <c r="DV24" i="12"/>
  <c r="DW24" i="12"/>
  <c r="DX24" i="12"/>
  <c r="DY24" i="12"/>
  <c r="DZ24" i="12"/>
  <c r="EA24" i="12"/>
  <c r="EB24" i="12"/>
  <c r="EC24" i="12"/>
  <c r="ED24" i="12"/>
  <c r="EE24" i="12"/>
  <c r="EF24" i="12"/>
  <c r="EG24" i="12"/>
  <c r="EH24" i="12"/>
  <c r="EI24" i="12"/>
  <c r="EJ24" i="12"/>
  <c r="EK24" i="12"/>
  <c r="EL24" i="12"/>
  <c r="EM24" i="12"/>
  <c r="EN24" i="12"/>
  <c r="EO24" i="12"/>
  <c r="EP24" i="12"/>
  <c r="CX26" i="12"/>
  <c r="CY26" i="12"/>
  <c r="CZ26" i="12"/>
  <c r="DA26" i="12"/>
  <c r="DB26" i="12"/>
  <c r="DC26" i="12"/>
  <c r="DD26" i="12"/>
  <c r="DE26" i="12"/>
  <c r="DF26" i="12"/>
  <c r="DG26" i="12"/>
  <c r="DH26" i="12"/>
  <c r="DI26" i="12"/>
  <c r="DJ26" i="12"/>
  <c r="DK26" i="12"/>
  <c r="DL26" i="12"/>
  <c r="DM26" i="12"/>
  <c r="DN26" i="12"/>
  <c r="DO26" i="12"/>
  <c r="DP26" i="12"/>
  <c r="DQ26" i="12"/>
  <c r="DR26" i="12"/>
  <c r="DS26" i="12"/>
  <c r="DT26" i="12"/>
  <c r="DU26" i="12"/>
  <c r="DV26" i="12"/>
  <c r="DW26" i="12"/>
  <c r="DX26" i="12"/>
  <c r="DY26" i="12"/>
  <c r="DZ26" i="12"/>
  <c r="EA26" i="12"/>
  <c r="EB26" i="12"/>
  <c r="EC26" i="12"/>
  <c r="ED26" i="12"/>
  <c r="EE26" i="12"/>
  <c r="EF26" i="12"/>
  <c r="EG26" i="12"/>
  <c r="EH26" i="12"/>
  <c r="EI26" i="12"/>
  <c r="EJ26" i="12"/>
  <c r="EK26" i="12"/>
  <c r="EL26" i="12"/>
  <c r="EM26" i="12"/>
  <c r="EN26" i="12"/>
  <c r="EO26" i="12"/>
  <c r="EP26" i="12"/>
  <c r="CX27" i="12"/>
  <c r="CY27" i="12"/>
  <c r="CZ27" i="12"/>
  <c r="DA27" i="12"/>
  <c r="DB27" i="12"/>
  <c r="DC27" i="12"/>
  <c r="DD27" i="12"/>
  <c r="DE27" i="12"/>
  <c r="DF27" i="12"/>
  <c r="DG27" i="12"/>
  <c r="DH27" i="12"/>
  <c r="DI27" i="12"/>
  <c r="DJ27" i="12"/>
  <c r="DK27" i="12"/>
  <c r="DL27" i="12"/>
  <c r="DM27" i="12"/>
  <c r="DN27" i="12"/>
  <c r="DO27" i="12"/>
  <c r="DP27" i="12"/>
  <c r="DQ27" i="12"/>
  <c r="DR27" i="12"/>
  <c r="DS27" i="12"/>
  <c r="DT27" i="12"/>
  <c r="DU27" i="12"/>
  <c r="DV27" i="12"/>
  <c r="DW27" i="12"/>
  <c r="DX27" i="12"/>
  <c r="DY27" i="12"/>
  <c r="DZ27" i="12"/>
  <c r="EA27" i="12"/>
  <c r="EB27" i="12"/>
  <c r="EC27" i="12"/>
  <c r="ED27" i="12"/>
  <c r="EE27" i="12"/>
  <c r="EF27" i="12"/>
  <c r="EG27" i="12"/>
  <c r="EH27" i="12"/>
  <c r="EI27" i="12"/>
  <c r="EJ27" i="12"/>
  <c r="EK27" i="12"/>
  <c r="EL27" i="12"/>
  <c r="EM27" i="12"/>
  <c r="EN27" i="12"/>
  <c r="EO27" i="12"/>
  <c r="EP27" i="12"/>
  <c r="CX28" i="12"/>
  <c r="CY28" i="12"/>
  <c r="CZ28" i="12"/>
  <c r="DA28" i="12"/>
  <c r="DB28" i="12"/>
  <c r="DC28" i="12"/>
  <c r="DD28" i="12"/>
  <c r="DE28" i="12"/>
  <c r="DF28" i="12"/>
  <c r="DG28" i="12"/>
  <c r="DH28" i="12"/>
  <c r="DI28" i="12"/>
  <c r="DJ28" i="12"/>
  <c r="DK28" i="12"/>
  <c r="DL28" i="12"/>
  <c r="DM28" i="12"/>
  <c r="DN28" i="12"/>
  <c r="DO28" i="12"/>
  <c r="DP28" i="12"/>
  <c r="DQ28" i="12"/>
  <c r="DR28" i="12"/>
  <c r="DS28" i="12"/>
  <c r="DT28" i="12"/>
  <c r="DU28" i="12"/>
  <c r="DV28" i="12"/>
  <c r="DW28" i="12"/>
  <c r="DX28" i="12"/>
  <c r="DY28" i="12"/>
  <c r="DZ28" i="12"/>
  <c r="EA28" i="12"/>
  <c r="EB28" i="12"/>
  <c r="EC28" i="12"/>
  <c r="ED28" i="12"/>
  <c r="EE28" i="12"/>
  <c r="EF28" i="12"/>
  <c r="EG28" i="12"/>
  <c r="EH28" i="12"/>
  <c r="EI28" i="12"/>
  <c r="EJ28" i="12"/>
  <c r="EK28" i="12"/>
  <c r="EL28" i="12"/>
  <c r="EM28" i="12"/>
  <c r="EN28" i="12"/>
  <c r="EO28" i="12"/>
  <c r="EP28" i="12"/>
  <c r="CX29" i="12"/>
  <c r="CY29" i="12"/>
  <c r="CZ29" i="12"/>
  <c r="DA29" i="12"/>
  <c r="DB29" i="12"/>
  <c r="DC29" i="12"/>
  <c r="DD29" i="12"/>
  <c r="DE29" i="12"/>
  <c r="DF29" i="12"/>
  <c r="DG29" i="12"/>
  <c r="DH29" i="12"/>
  <c r="DI29" i="12"/>
  <c r="DJ29" i="12"/>
  <c r="DK29" i="12"/>
  <c r="DL29" i="12"/>
  <c r="DM29" i="12"/>
  <c r="DN29" i="12"/>
  <c r="DO29" i="12"/>
  <c r="DP29" i="12"/>
  <c r="DQ29" i="12"/>
  <c r="DR29" i="12"/>
  <c r="DS29" i="12"/>
  <c r="DT29" i="12"/>
  <c r="DU29" i="12"/>
  <c r="DV29" i="12"/>
  <c r="DW29" i="12"/>
  <c r="DX29" i="12"/>
  <c r="DY29" i="12"/>
  <c r="DZ29" i="12"/>
  <c r="EA29" i="12"/>
  <c r="EB29" i="12"/>
  <c r="EC29" i="12"/>
  <c r="ED29" i="12"/>
  <c r="EE29" i="12"/>
  <c r="EF29" i="12"/>
  <c r="EG29" i="12"/>
  <c r="EH29" i="12"/>
  <c r="EI29" i="12"/>
  <c r="EJ29" i="12"/>
  <c r="EK29" i="12"/>
  <c r="EL29" i="12"/>
  <c r="EM29" i="12"/>
  <c r="EN29" i="12"/>
  <c r="EO29" i="12"/>
  <c r="EP29" i="12"/>
  <c r="CX32" i="12"/>
  <c r="CY32" i="12"/>
  <c r="CZ32" i="12"/>
  <c r="DA32" i="12"/>
  <c r="DB32" i="12"/>
  <c r="DC32" i="12"/>
  <c r="DD32" i="12"/>
  <c r="DE32" i="12"/>
  <c r="DF32" i="12"/>
  <c r="DG32" i="12"/>
  <c r="DH32" i="12"/>
  <c r="DI32" i="12"/>
  <c r="DJ32" i="12"/>
  <c r="DK32" i="12"/>
  <c r="DL32" i="12"/>
  <c r="DM32" i="12"/>
  <c r="DN32" i="12"/>
  <c r="DO32" i="12"/>
  <c r="DP32" i="12"/>
  <c r="DQ32" i="12"/>
  <c r="DR32" i="12"/>
  <c r="DS32" i="12"/>
  <c r="DT32" i="12"/>
  <c r="DU32" i="12"/>
  <c r="DV32" i="12"/>
  <c r="DW32" i="12"/>
  <c r="DX32" i="12"/>
  <c r="DY32" i="12"/>
  <c r="DZ32" i="12"/>
  <c r="EA32" i="12"/>
  <c r="EB32" i="12"/>
  <c r="EC32" i="12"/>
  <c r="ED32" i="12"/>
  <c r="EE32" i="12"/>
  <c r="EF32" i="12"/>
  <c r="EG32" i="12"/>
  <c r="EH32" i="12"/>
  <c r="EI32" i="12"/>
  <c r="EJ32" i="12"/>
  <c r="EK32" i="12"/>
  <c r="EL32" i="12"/>
  <c r="EM32" i="12"/>
  <c r="EN32" i="12"/>
  <c r="EO32" i="12"/>
  <c r="EP32" i="12"/>
  <c r="CX33" i="12"/>
  <c r="CY33" i="12"/>
  <c r="CZ33" i="12"/>
  <c r="DA33" i="12"/>
  <c r="DB33" i="12"/>
  <c r="DC33" i="12"/>
  <c r="DD33" i="12"/>
  <c r="DE33" i="12"/>
  <c r="DF33" i="12"/>
  <c r="DG33" i="12"/>
  <c r="DH33" i="12"/>
  <c r="DI33" i="12"/>
  <c r="DJ33" i="12"/>
  <c r="DK33" i="12"/>
  <c r="DL33" i="12"/>
  <c r="DM33" i="12"/>
  <c r="DN33" i="12"/>
  <c r="DO33" i="12"/>
  <c r="DP33" i="12"/>
  <c r="DQ33" i="12"/>
  <c r="DR33" i="12"/>
  <c r="DS33" i="12"/>
  <c r="DT33" i="12"/>
  <c r="DU33" i="12"/>
  <c r="DV33" i="12"/>
  <c r="DW33" i="12"/>
  <c r="DX33" i="12"/>
  <c r="DY33" i="12"/>
  <c r="DZ33" i="12"/>
  <c r="EA33" i="12"/>
  <c r="EB33" i="12"/>
  <c r="EC33" i="12"/>
  <c r="ED33" i="12"/>
  <c r="EE33" i="12"/>
  <c r="EF33" i="12"/>
  <c r="EG33" i="12"/>
  <c r="EH33" i="12"/>
  <c r="EI33" i="12"/>
  <c r="EJ33" i="12"/>
  <c r="EK33" i="12"/>
  <c r="EL33" i="12"/>
  <c r="EM33" i="12"/>
  <c r="EN33" i="12"/>
  <c r="EO33" i="12"/>
  <c r="EP33" i="12"/>
  <c r="CX34" i="12"/>
  <c r="CY34" i="12"/>
  <c r="CZ34" i="12"/>
  <c r="DA34" i="12"/>
  <c r="DB34" i="12"/>
  <c r="DC34" i="12"/>
  <c r="DD34" i="12"/>
  <c r="DE34" i="12"/>
  <c r="DF34" i="12"/>
  <c r="DG34" i="12"/>
  <c r="DH34" i="12"/>
  <c r="DI34" i="12"/>
  <c r="DJ34" i="12"/>
  <c r="DK34" i="12"/>
  <c r="DL34" i="12"/>
  <c r="DM34" i="12"/>
  <c r="DN34" i="12"/>
  <c r="DO34" i="12"/>
  <c r="DP34" i="12"/>
  <c r="DQ34" i="12"/>
  <c r="DR34" i="12"/>
  <c r="DS34" i="12"/>
  <c r="DT34" i="12"/>
  <c r="DU34" i="12"/>
  <c r="DV34" i="12"/>
  <c r="DW34" i="12"/>
  <c r="DX34" i="12"/>
  <c r="DY34" i="12"/>
  <c r="DZ34" i="12"/>
  <c r="EA34" i="12"/>
  <c r="EB34" i="12"/>
  <c r="EC34" i="12"/>
  <c r="ED34" i="12"/>
  <c r="EE34" i="12"/>
  <c r="EF34" i="12"/>
  <c r="EG34" i="12"/>
  <c r="EH34" i="12"/>
  <c r="EI34" i="12"/>
  <c r="EJ34" i="12"/>
  <c r="EK34" i="12"/>
  <c r="EL34" i="12"/>
  <c r="EM34" i="12"/>
  <c r="EN34" i="12"/>
  <c r="EO34" i="12"/>
  <c r="EP34" i="12"/>
  <c r="CX35" i="12"/>
  <c r="CY35" i="12"/>
  <c r="CZ35" i="12"/>
  <c r="DA35" i="12"/>
  <c r="DB35" i="12"/>
  <c r="DC35" i="12"/>
  <c r="DD35" i="12"/>
  <c r="DE35" i="12"/>
  <c r="DF35" i="12"/>
  <c r="DG35" i="12"/>
  <c r="DH35" i="12"/>
  <c r="DI35" i="12"/>
  <c r="DJ35" i="12"/>
  <c r="DK35" i="12"/>
  <c r="DL35" i="12"/>
  <c r="DM35" i="12"/>
  <c r="DN35" i="12"/>
  <c r="DO35" i="12"/>
  <c r="DP35" i="12"/>
  <c r="DQ35" i="12"/>
  <c r="DR35" i="12"/>
  <c r="DS35" i="12"/>
  <c r="DT35" i="12"/>
  <c r="DU35" i="12"/>
  <c r="DV35" i="12"/>
  <c r="DW35" i="12"/>
  <c r="DX35" i="12"/>
  <c r="DY35" i="12"/>
  <c r="DZ35" i="12"/>
  <c r="EA35" i="12"/>
  <c r="EB35" i="12"/>
  <c r="EC35" i="12"/>
  <c r="ED35" i="12"/>
  <c r="EE35" i="12"/>
  <c r="EF35" i="12"/>
  <c r="EG35" i="12"/>
  <c r="EH35" i="12"/>
  <c r="EI35" i="12"/>
  <c r="EJ35" i="12"/>
  <c r="EK35" i="12"/>
  <c r="EL35" i="12"/>
  <c r="EM35" i="12"/>
  <c r="EN35" i="12"/>
  <c r="EO35" i="12"/>
  <c r="EP35" i="12"/>
  <c r="AZ12" i="12"/>
  <c r="AZ21" i="12"/>
  <c r="AZ18" i="12"/>
  <c r="AZ26" i="12"/>
  <c r="AZ32" i="12"/>
  <c r="BA12" i="12"/>
  <c r="BA21" i="12"/>
  <c r="BA18" i="12"/>
  <c r="BA26" i="12"/>
  <c r="BA32" i="12"/>
  <c r="BB12" i="12"/>
  <c r="BB21" i="12"/>
  <c r="BB18" i="12"/>
  <c r="BB26" i="12"/>
  <c r="BB32" i="12"/>
  <c r="BC12" i="12"/>
  <c r="BC21" i="12"/>
  <c r="BC18" i="12"/>
  <c r="BC26" i="12"/>
  <c r="BC32" i="12"/>
  <c r="BD12" i="12"/>
  <c r="BD21" i="12"/>
  <c r="BD18" i="12"/>
  <c r="BD26" i="12"/>
  <c r="BD32" i="12"/>
  <c r="BE12" i="12"/>
  <c r="BE21" i="12"/>
  <c r="BE18" i="12"/>
  <c r="BE26" i="12"/>
  <c r="BE32" i="12"/>
  <c r="BF12" i="12"/>
  <c r="BF21" i="12"/>
  <c r="BF18" i="12"/>
  <c r="BF26" i="12"/>
  <c r="BF32" i="12"/>
  <c r="BG12" i="12"/>
  <c r="BG21" i="12"/>
  <c r="BG18" i="12"/>
  <c r="BG26" i="12"/>
  <c r="BG32" i="12"/>
  <c r="BH12" i="12"/>
  <c r="BH21" i="12"/>
  <c r="BH18" i="12"/>
  <c r="BH26" i="12"/>
  <c r="BH32" i="12"/>
  <c r="BI12" i="12"/>
  <c r="BI21" i="12"/>
  <c r="BI18" i="12"/>
  <c r="BI26" i="12"/>
  <c r="BI32" i="12"/>
  <c r="BJ12" i="12"/>
  <c r="BJ21" i="12"/>
  <c r="BJ18" i="12"/>
  <c r="BJ26" i="12"/>
  <c r="BJ32" i="12"/>
  <c r="BK12" i="12"/>
  <c r="BK21" i="12"/>
  <c r="BK18" i="12"/>
  <c r="BK26" i="12"/>
  <c r="BK32" i="12"/>
  <c r="BL12" i="12"/>
  <c r="BL21" i="12"/>
  <c r="BL18" i="12"/>
  <c r="BL26" i="12"/>
  <c r="BL32" i="12"/>
  <c r="BM12" i="12"/>
  <c r="BM21" i="12"/>
  <c r="BM18" i="12"/>
  <c r="BM26" i="12"/>
  <c r="BM32" i="12"/>
  <c r="BN12" i="12"/>
  <c r="BN21" i="12"/>
  <c r="BN18" i="12"/>
  <c r="BN26" i="12"/>
  <c r="BN32" i="12"/>
  <c r="BO12" i="12"/>
  <c r="BO21" i="12"/>
  <c r="BO18" i="12"/>
  <c r="BO26" i="12"/>
  <c r="BO32" i="12"/>
  <c r="BP12" i="12"/>
  <c r="BP21" i="12"/>
  <c r="BP18" i="12"/>
  <c r="BP26" i="12"/>
  <c r="BP32" i="12"/>
  <c r="BQ12" i="12"/>
  <c r="BQ21" i="12"/>
  <c r="BQ18" i="12"/>
  <c r="BQ26" i="12"/>
  <c r="BQ32" i="12"/>
  <c r="BR12" i="12"/>
  <c r="BR21" i="12"/>
  <c r="BR18" i="12"/>
  <c r="BR26" i="12"/>
  <c r="BR32" i="12"/>
  <c r="BS12" i="12"/>
  <c r="BS21" i="12"/>
  <c r="BS18" i="12"/>
  <c r="BS26" i="12"/>
  <c r="BS32" i="12"/>
  <c r="BT12" i="12"/>
  <c r="BT21" i="12"/>
  <c r="BT18" i="12"/>
  <c r="BT26" i="12"/>
  <c r="BT32" i="12"/>
  <c r="BU12" i="12"/>
  <c r="BU21" i="12"/>
  <c r="BU18" i="12"/>
  <c r="BU26" i="12"/>
  <c r="BU32" i="12"/>
  <c r="BV12" i="12"/>
  <c r="BV21" i="12"/>
  <c r="BV18" i="12"/>
  <c r="BV26" i="12"/>
  <c r="BV32" i="12"/>
  <c r="BW12" i="12"/>
  <c r="BW21" i="12"/>
  <c r="BW18" i="12"/>
  <c r="BW26" i="12"/>
  <c r="BW32" i="12"/>
  <c r="BX12" i="12"/>
  <c r="BX21" i="12"/>
  <c r="BX18" i="12"/>
  <c r="BX26" i="12"/>
  <c r="BX32" i="12"/>
  <c r="BY12" i="12"/>
  <c r="BY21" i="12"/>
  <c r="BY18" i="12"/>
  <c r="BY26" i="12"/>
  <c r="BY32" i="12"/>
  <c r="BZ12" i="12"/>
  <c r="BZ21" i="12"/>
  <c r="BZ18" i="12"/>
  <c r="BZ26" i="12"/>
  <c r="BZ32" i="12"/>
  <c r="CA12" i="12"/>
  <c r="CA21" i="12"/>
  <c r="CA18" i="12"/>
  <c r="CA26" i="12"/>
  <c r="CA32" i="12"/>
  <c r="CB12" i="12"/>
  <c r="CB21" i="12"/>
  <c r="CB18" i="12"/>
  <c r="CB26" i="12"/>
  <c r="CB32" i="12"/>
  <c r="CC12" i="12"/>
  <c r="CC21" i="12"/>
  <c r="CC18" i="12"/>
  <c r="CC26" i="12"/>
  <c r="CC32" i="12"/>
  <c r="CD12" i="12"/>
  <c r="CD21" i="12"/>
  <c r="CD18" i="12"/>
  <c r="CD26" i="12"/>
  <c r="CD32" i="12"/>
  <c r="CE12" i="12"/>
  <c r="CE21" i="12"/>
  <c r="CE18" i="12"/>
  <c r="CE26" i="12"/>
  <c r="CE32" i="12"/>
  <c r="CF12" i="12"/>
  <c r="CF21" i="12"/>
  <c r="CF18" i="12"/>
  <c r="CF26" i="12"/>
  <c r="CF32" i="12"/>
  <c r="CG12" i="12"/>
  <c r="CG21" i="12"/>
  <c r="CG18" i="12"/>
  <c r="CG26" i="12"/>
  <c r="CG32" i="12"/>
  <c r="CH12" i="12"/>
  <c r="CH21" i="12"/>
  <c r="CH18" i="12"/>
  <c r="CH26" i="12"/>
  <c r="CH32" i="12"/>
  <c r="CI12" i="12"/>
  <c r="CI21" i="12"/>
  <c r="CI18" i="12"/>
  <c r="CI26" i="12"/>
  <c r="CI32" i="12"/>
  <c r="CJ12" i="12"/>
  <c r="CJ21" i="12"/>
  <c r="CJ18" i="12"/>
  <c r="CJ26" i="12"/>
  <c r="CJ32" i="12"/>
  <c r="CK12" i="12"/>
  <c r="CK21" i="12"/>
  <c r="CK18" i="12"/>
  <c r="CK26" i="12"/>
  <c r="CK32" i="12"/>
  <c r="CL12" i="12"/>
  <c r="CL21" i="12"/>
  <c r="CL18" i="12"/>
  <c r="CL26" i="12"/>
  <c r="CL32" i="12"/>
  <c r="CM12" i="12"/>
  <c r="CM21" i="12"/>
  <c r="CM18" i="12"/>
  <c r="CM26" i="12"/>
  <c r="CM32" i="12"/>
  <c r="CN12" i="12"/>
  <c r="CN21" i="12"/>
  <c r="CN18" i="12"/>
  <c r="CN26" i="12"/>
  <c r="CN32" i="12"/>
  <c r="CO12" i="12"/>
  <c r="CO21" i="12"/>
  <c r="CO18" i="12"/>
  <c r="CO26" i="12"/>
  <c r="CO32" i="12"/>
  <c r="CP12" i="12"/>
  <c r="CP21" i="12"/>
  <c r="CP18" i="12"/>
  <c r="CP26" i="12"/>
  <c r="CP32" i="12"/>
  <c r="CQ12" i="12"/>
  <c r="CQ21" i="12"/>
  <c r="CQ18" i="12"/>
  <c r="CQ26" i="12"/>
  <c r="CQ32" i="12"/>
  <c r="CR12" i="12"/>
  <c r="CR21" i="12"/>
  <c r="CR18" i="12"/>
  <c r="CR26" i="12"/>
  <c r="CR32" i="12"/>
  <c r="CS12" i="12"/>
  <c r="CS21" i="12"/>
  <c r="CS18" i="12"/>
  <c r="CS26" i="12"/>
  <c r="CS32" i="12"/>
  <c r="CT12" i="12"/>
  <c r="CT21" i="12"/>
  <c r="CT18" i="12"/>
  <c r="CT26" i="12"/>
  <c r="CT32" i="12"/>
  <c r="CU12" i="12"/>
  <c r="CU21" i="12"/>
  <c r="CU18" i="12"/>
  <c r="CU26" i="12"/>
  <c r="CU32" i="12"/>
  <c r="CV12" i="12"/>
  <c r="CV21" i="12"/>
  <c r="CV18" i="12"/>
  <c r="CV26" i="12"/>
  <c r="CV32" i="12"/>
  <c r="CW12" i="12"/>
  <c r="CW21" i="12"/>
  <c r="CW18" i="12"/>
  <c r="CW26" i="12"/>
  <c r="CW32" i="12"/>
  <c r="AZ22" i="12"/>
  <c r="AZ27" i="12"/>
  <c r="AZ33" i="12"/>
  <c r="BA22" i="12"/>
  <c r="BA27" i="12"/>
  <c r="BA33" i="12"/>
  <c r="BB22" i="12"/>
  <c r="BB27" i="12"/>
  <c r="BB33" i="12"/>
  <c r="BC22" i="12"/>
  <c r="BC27" i="12"/>
  <c r="BC33" i="12"/>
  <c r="BD22" i="12"/>
  <c r="BD27" i="12"/>
  <c r="BD33" i="12"/>
  <c r="BE22" i="12"/>
  <c r="BE27" i="12"/>
  <c r="BE33" i="12"/>
  <c r="BF22" i="12"/>
  <c r="BF27" i="12"/>
  <c r="BF33" i="12"/>
  <c r="BG22" i="12"/>
  <c r="BG27" i="12"/>
  <c r="BG33" i="12"/>
  <c r="BH22" i="12"/>
  <c r="BH27" i="12"/>
  <c r="BH33" i="12"/>
  <c r="BI22" i="12"/>
  <c r="BI27" i="12"/>
  <c r="BI33" i="12"/>
  <c r="BJ22" i="12"/>
  <c r="BJ27" i="12"/>
  <c r="BJ33" i="12"/>
  <c r="BK22" i="12"/>
  <c r="BK27" i="12"/>
  <c r="BK33" i="12"/>
  <c r="BL22" i="12"/>
  <c r="BL27" i="12"/>
  <c r="BL33" i="12"/>
  <c r="BM22" i="12"/>
  <c r="BM27" i="12"/>
  <c r="BM33" i="12"/>
  <c r="BN22" i="12"/>
  <c r="BN27" i="12"/>
  <c r="BN33" i="12"/>
  <c r="BO22" i="12"/>
  <c r="BO27" i="12"/>
  <c r="BO33" i="12"/>
  <c r="BP22" i="12"/>
  <c r="BP27" i="12"/>
  <c r="BP33" i="12"/>
  <c r="BQ22" i="12"/>
  <c r="BQ27" i="12"/>
  <c r="BQ33" i="12"/>
  <c r="BR22" i="12"/>
  <c r="BR27" i="12"/>
  <c r="BR33" i="12"/>
  <c r="BS22" i="12"/>
  <c r="BS27" i="12"/>
  <c r="BS33" i="12"/>
  <c r="BT22" i="12"/>
  <c r="BT27" i="12"/>
  <c r="BT33" i="12"/>
  <c r="BU22" i="12"/>
  <c r="BU27" i="12"/>
  <c r="BU33" i="12"/>
  <c r="BV22" i="12"/>
  <c r="BV27" i="12"/>
  <c r="BV33" i="12"/>
  <c r="BW22" i="12"/>
  <c r="BW27" i="12"/>
  <c r="BW33" i="12"/>
  <c r="BX22" i="12"/>
  <c r="BX27" i="12"/>
  <c r="BX33" i="12"/>
  <c r="BY22" i="12"/>
  <c r="BY27" i="12"/>
  <c r="BY33" i="12"/>
  <c r="BZ22" i="12"/>
  <c r="BZ27" i="12"/>
  <c r="BZ33" i="12"/>
  <c r="CA22" i="12"/>
  <c r="CA27" i="12"/>
  <c r="CA33" i="12"/>
  <c r="CB22" i="12"/>
  <c r="CB27" i="12"/>
  <c r="CB33" i="12"/>
  <c r="CC22" i="12"/>
  <c r="CC27" i="12"/>
  <c r="CC33" i="12"/>
  <c r="CD22" i="12"/>
  <c r="CD27" i="12"/>
  <c r="CD33" i="12"/>
  <c r="CE22" i="12"/>
  <c r="CE27" i="12"/>
  <c r="CE33" i="12"/>
  <c r="CF22" i="12"/>
  <c r="CF27" i="12"/>
  <c r="CF33" i="12"/>
  <c r="CG22" i="12"/>
  <c r="CG27" i="12"/>
  <c r="CG33" i="12"/>
  <c r="CH22" i="12"/>
  <c r="CH27" i="12"/>
  <c r="CH33" i="12"/>
  <c r="CI22" i="12"/>
  <c r="CI27" i="12"/>
  <c r="CI33" i="12"/>
  <c r="CJ22" i="12"/>
  <c r="CJ27" i="12"/>
  <c r="CJ33" i="12"/>
  <c r="CK22" i="12"/>
  <c r="CK27" i="12"/>
  <c r="CK33" i="12"/>
  <c r="CL22" i="12"/>
  <c r="CL27" i="12"/>
  <c r="CL33" i="12"/>
  <c r="CM22" i="12"/>
  <c r="CM27" i="12"/>
  <c r="CM33" i="12"/>
  <c r="CN22" i="12"/>
  <c r="CN27" i="12"/>
  <c r="CN33" i="12"/>
  <c r="CO22" i="12"/>
  <c r="CO27" i="12"/>
  <c r="CO33" i="12"/>
  <c r="CP22" i="12"/>
  <c r="CP27" i="12"/>
  <c r="CP33" i="12"/>
  <c r="CQ22" i="12"/>
  <c r="CQ27" i="12"/>
  <c r="CQ33" i="12"/>
  <c r="CR22" i="12"/>
  <c r="CR27" i="12"/>
  <c r="CR33" i="12"/>
  <c r="CS22" i="12"/>
  <c r="CS27" i="12"/>
  <c r="CS33" i="12"/>
  <c r="CT22" i="12"/>
  <c r="CT27" i="12"/>
  <c r="CT33" i="12"/>
  <c r="CU22" i="12"/>
  <c r="CU27" i="12"/>
  <c r="CU33" i="12"/>
  <c r="CV22" i="12"/>
  <c r="CV27" i="12"/>
  <c r="CV33" i="12"/>
  <c r="CW22" i="12"/>
  <c r="CW27" i="12"/>
  <c r="CW33" i="12"/>
  <c r="AZ23" i="12"/>
  <c r="AZ28" i="12"/>
  <c r="AZ34" i="12"/>
  <c r="BA23" i="12"/>
  <c r="BA28" i="12"/>
  <c r="BA34" i="12"/>
  <c r="BB23" i="12"/>
  <c r="BB28" i="12"/>
  <c r="BB34" i="12"/>
  <c r="BC23" i="12"/>
  <c r="BC28" i="12"/>
  <c r="BC34" i="12"/>
  <c r="BD23" i="12"/>
  <c r="BD28" i="12"/>
  <c r="BD34" i="12"/>
  <c r="BE23" i="12"/>
  <c r="BE28" i="12"/>
  <c r="BE34" i="12"/>
  <c r="BF23" i="12"/>
  <c r="BF28" i="12"/>
  <c r="BF34" i="12"/>
  <c r="BG23" i="12"/>
  <c r="BG28" i="12"/>
  <c r="BG34" i="12"/>
  <c r="BH23" i="12"/>
  <c r="BH28" i="12"/>
  <c r="BH34" i="12"/>
  <c r="BI23" i="12"/>
  <c r="BI28" i="12"/>
  <c r="BI34" i="12"/>
  <c r="BJ23" i="12"/>
  <c r="BJ28" i="12"/>
  <c r="BJ34" i="12"/>
  <c r="BK23" i="12"/>
  <c r="BK28" i="12"/>
  <c r="BK34" i="12"/>
  <c r="BL23" i="12"/>
  <c r="BL28" i="12"/>
  <c r="BL34" i="12"/>
  <c r="BM23" i="12"/>
  <c r="BM28" i="12"/>
  <c r="BM34" i="12"/>
  <c r="BN23" i="12"/>
  <c r="BN28" i="12"/>
  <c r="BN34" i="12"/>
  <c r="BO23" i="12"/>
  <c r="BO28" i="12"/>
  <c r="BO34" i="12"/>
  <c r="BP23" i="12"/>
  <c r="BP28" i="12"/>
  <c r="BP34" i="12"/>
  <c r="BQ23" i="12"/>
  <c r="BQ28" i="12"/>
  <c r="BQ34" i="12"/>
  <c r="BR23" i="12"/>
  <c r="BR28" i="12"/>
  <c r="BR34" i="12"/>
  <c r="BS23" i="12"/>
  <c r="BS28" i="12"/>
  <c r="BS34" i="12"/>
  <c r="BT23" i="12"/>
  <c r="BT28" i="12"/>
  <c r="BT34" i="12"/>
  <c r="BU23" i="12"/>
  <c r="BU28" i="12"/>
  <c r="BU34" i="12"/>
  <c r="BV23" i="12"/>
  <c r="BV28" i="12"/>
  <c r="BV34" i="12"/>
  <c r="BW23" i="12"/>
  <c r="BW28" i="12"/>
  <c r="BW34" i="12"/>
  <c r="BX23" i="12"/>
  <c r="BX28" i="12"/>
  <c r="BX34" i="12"/>
  <c r="BY23" i="12"/>
  <c r="BY28" i="12"/>
  <c r="BY34" i="12"/>
  <c r="BZ23" i="12"/>
  <c r="BZ28" i="12"/>
  <c r="BZ34" i="12"/>
  <c r="CA23" i="12"/>
  <c r="CA28" i="12"/>
  <c r="CA34" i="12"/>
  <c r="CB23" i="12"/>
  <c r="CB28" i="12"/>
  <c r="CB34" i="12"/>
  <c r="CC23" i="12"/>
  <c r="CC28" i="12"/>
  <c r="CC34" i="12"/>
  <c r="CD23" i="12"/>
  <c r="CD28" i="12"/>
  <c r="CD34" i="12"/>
  <c r="CE23" i="12"/>
  <c r="CE28" i="12"/>
  <c r="CE34" i="12"/>
  <c r="CF23" i="12"/>
  <c r="CF28" i="12"/>
  <c r="CF34" i="12"/>
  <c r="CG23" i="12"/>
  <c r="CG28" i="12"/>
  <c r="CG34" i="12"/>
  <c r="CH23" i="12"/>
  <c r="CH28" i="12"/>
  <c r="CH34" i="12"/>
  <c r="CI23" i="12"/>
  <c r="CI28" i="12"/>
  <c r="CI34" i="12"/>
  <c r="CJ23" i="12"/>
  <c r="CJ28" i="12"/>
  <c r="CJ34" i="12"/>
  <c r="CK23" i="12"/>
  <c r="CK28" i="12"/>
  <c r="CK34" i="12"/>
  <c r="CL23" i="12"/>
  <c r="CL28" i="12"/>
  <c r="CL34" i="12"/>
  <c r="CM23" i="12"/>
  <c r="CM28" i="12"/>
  <c r="CM34" i="12"/>
  <c r="CN23" i="12"/>
  <c r="CN28" i="12"/>
  <c r="CN34" i="12"/>
  <c r="CO23" i="12"/>
  <c r="CO28" i="12"/>
  <c r="CO34" i="12"/>
  <c r="CP23" i="12"/>
  <c r="CP28" i="12"/>
  <c r="CP34" i="12"/>
  <c r="CQ23" i="12"/>
  <c r="CQ28" i="12"/>
  <c r="CQ34" i="12"/>
  <c r="CR23" i="12"/>
  <c r="CR28" i="12"/>
  <c r="CR34" i="12"/>
  <c r="CS23" i="12"/>
  <c r="CS28" i="12"/>
  <c r="CS34" i="12"/>
  <c r="CT23" i="12"/>
  <c r="CT28" i="12"/>
  <c r="CT34" i="12"/>
  <c r="CU23" i="12"/>
  <c r="CU28" i="12"/>
  <c r="CU34" i="12"/>
  <c r="CV23" i="12"/>
  <c r="CV28" i="12"/>
  <c r="CV34" i="12"/>
  <c r="CW23" i="12"/>
  <c r="CW28" i="12"/>
  <c r="CW34" i="12"/>
  <c r="AZ24" i="12"/>
  <c r="AZ29" i="12"/>
  <c r="AZ35" i="12"/>
  <c r="BA24" i="12"/>
  <c r="BA29" i="12"/>
  <c r="BA35" i="12"/>
  <c r="BB24" i="12"/>
  <c r="BB29" i="12"/>
  <c r="BB35" i="12"/>
  <c r="BC24" i="12"/>
  <c r="BC29" i="12"/>
  <c r="BC35" i="12"/>
  <c r="BD24" i="12"/>
  <c r="BD29" i="12"/>
  <c r="BD35" i="12"/>
  <c r="BE24" i="12"/>
  <c r="BE29" i="12"/>
  <c r="BE35" i="12"/>
  <c r="BF24" i="12"/>
  <c r="BF29" i="12"/>
  <c r="BF35" i="12"/>
  <c r="BG24" i="12"/>
  <c r="BG29" i="12"/>
  <c r="BG35" i="12"/>
  <c r="BH24" i="12"/>
  <c r="BH29" i="12"/>
  <c r="BH35" i="12"/>
  <c r="BI24" i="12"/>
  <c r="BI29" i="12"/>
  <c r="BI35" i="12"/>
  <c r="BJ24" i="12"/>
  <c r="BJ29" i="12"/>
  <c r="BJ35" i="12"/>
  <c r="BK24" i="12"/>
  <c r="BK29" i="12"/>
  <c r="BK35" i="12"/>
  <c r="BL24" i="12"/>
  <c r="BL29" i="12"/>
  <c r="BL35" i="12"/>
  <c r="BM24" i="12"/>
  <c r="BM29" i="12"/>
  <c r="BM35" i="12"/>
  <c r="BN24" i="12"/>
  <c r="BN29" i="12"/>
  <c r="BN35" i="12"/>
  <c r="BO24" i="12"/>
  <c r="BO29" i="12"/>
  <c r="BO35" i="12"/>
  <c r="BP24" i="12"/>
  <c r="BP29" i="12"/>
  <c r="BP35" i="12"/>
  <c r="BQ24" i="12"/>
  <c r="BQ29" i="12"/>
  <c r="BQ35" i="12"/>
  <c r="BR24" i="12"/>
  <c r="BR29" i="12"/>
  <c r="BR35" i="12"/>
  <c r="BS24" i="12"/>
  <c r="BS29" i="12"/>
  <c r="BS35" i="12"/>
  <c r="BT24" i="12"/>
  <c r="BT29" i="12"/>
  <c r="BT35" i="12"/>
  <c r="BU24" i="12"/>
  <c r="BU29" i="12"/>
  <c r="BU35" i="12"/>
  <c r="BV24" i="12"/>
  <c r="BV29" i="12"/>
  <c r="BV35" i="12"/>
  <c r="BW24" i="12"/>
  <c r="BW29" i="12"/>
  <c r="BW35" i="12"/>
  <c r="BX24" i="12"/>
  <c r="BX29" i="12"/>
  <c r="BX35" i="12"/>
  <c r="BY24" i="12"/>
  <c r="BY29" i="12"/>
  <c r="BY35" i="12"/>
  <c r="BZ24" i="12"/>
  <c r="BZ29" i="12"/>
  <c r="BZ35" i="12"/>
  <c r="CA24" i="12"/>
  <c r="CA29" i="12"/>
  <c r="CA35" i="12"/>
  <c r="CB24" i="12"/>
  <c r="CB29" i="12"/>
  <c r="CB35" i="12"/>
  <c r="CC24" i="12"/>
  <c r="CC29" i="12"/>
  <c r="CC35" i="12"/>
  <c r="CD24" i="12"/>
  <c r="CD29" i="12"/>
  <c r="CD35" i="12"/>
  <c r="CE24" i="12"/>
  <c r="CE29" i="12"/>
  <c r="CE35" i="12"/>
  <c r="CF24" i="12"/>
  <c r="CF29" i="12"/>
  <c r="CF35" i="12"/>
  <c r="CG24" i="12"/>
  <c r="CG29" i="12"/>
  <c r="CG35" i="12"/>
  <c r="CH24" i="12"/>
  <c r="CH29" i="12"/>
  <c r="CH35" i="12"/>
  <c r="CI24" i="12"/>
  <c r="CI29" i="12"/>
  <c r="CI35" i="12"/>
  <c r="CJ24" i="12"/>
  <c r="CJ29" i="12"/>
  <c r="CJ35" i="12"/>
  <c r="CK24" i="12"/>
  <c r="CK29" i="12"/>
  <c r="CK35" i="12"/>
  <c r="CL24" i="12"/>
  <c r="CL29" i="12"/>
  <c r="CL35" i="12"/>
  <c r="CM24" i="12"/>
  <c r="CM29" i="12"/>
  <c r="CM35" i="12"/>
  <c r="CN24" i="12"/>
  <c r="CN29" i="12"/>
  <c r="CN35" i="12"/>
  <c r="CO24" i="12"/>
  <c r="CO29" i="12"/>
  <c r="CO35" i="12"/>
  <c r="CP24" i="12"/>
  <c r="CP29" i="12"/>
  <c r="CP35" i="12"/>
  <c r="CQ24" i="12"/>
  <c r="CQ29" i="12"/>
  <c r="CQ35" i="12"/>
  <c r="CR24" i="12"/>
  <c r="CR29" i="12"/>
  <c r="CR35" i="12"/>
  <c r="CS24" i="12"/>
  <c r="CS29" i="12"/>
  <c r="CS35" i="12"/>
  <c r="CT24" i="12"/>
  <c r="CT29" i="12"/>
  <c r="CT35" i="12"/>
  <c r="CU24" i="12"/>
  <c r="CU29" i="12"/>
  <c r="CU35" i="12"/>
  <c r="CV24" i="12"/>
  <c r="CV29" i="12"/>
  <c r="CV35" i="12"/>
  <c r="CW24" i="12"/>
  <c r="CW29" i="12"/>
  <c r="CW35" i="12"/>
  <c r="AZ6" i="12"/>
  <c r="BA6" i="12"/>
  <c r="BB6" i="12"/>
  <c r="BC6" i="12"/>
  <c r="BD6" i="12"/>
  <c r="BE6" i="12"/>
  <c r="BF6" i="12"/>
  <c r="BG6" i="12"/>
  <c r="BH6" i="12"/>
  <c r="BI6" i="12"/>
  <c r="BJ6" i="12"/>
  <c r="BK6" i="12"/>
  <c r="BL6" i="12"/>
  <c r="BM6" i="12"/>
  <c r="BN6" i="12"/>
  <c r="BO6" i="12"/>
  <c r="BP6" i="12"/>
  <c r="BQ6" i="12"/>
  <c r="BR6" i="12"/>
  <c r="BS6" i="12"/>
  <c r="BT6" i="12"/>
  <c r="BU6" i="12"/>
  <c r="BV6" i="12"/>
  <c r="BW6" i="12"/>
  <c r="BX6" i="12"/>
  <c r="BY6" i="12"/>
  <c r="BZ6" i="12"/>
  <c r="CA6" i="12"/>
  <c r="CB6" i="12"/>
  <c r="CC6" i="12"/>
  <c r="CD6" i="12"/>
  <c r="CE6" i="12"/>
  <c r="CF6" i="12"/>
  <c r="CG6" i="12"/>
  <c r="CH6" i="12"/>
  <c r="CI6" i="12"/>
  <c r="CJ6" i="12"/>
  <c r="CK6" i="12"/>
  <c r="CL6" i="12"/>
  <c r="CM6" i="12"/>
  <c r="CN6" i="12"/>
  <c r="CO6" i="12"/>
  <c r="CP6" i="12"/>
  <c r="CQ6" i="12"/>
  <c r="CR6" i="12"/>
  <c r="CS6" i="12"/>
  <c r="CT6" i="12"/>
  <c r="CU6" i="12"/>
  <c r="CV6" i="12"/>
  <c r="CW6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W6" i="12"/>
  <c r="AX6" i="12"/>
  <c r="AY6" i="12"/>
  <c r="B4" i="12"/>
  <c r="B5" i="12"/>
  <c r="B6" i="12"/>
  <c r="B3" i="12"/>
  <c r="AY12" i="12"/>
  <c r="AY24" i="12"/>
  <c r="AY18" i="12"/>
  <c r="AY29" i="12"/>
  <c r="AY35" i="12"/>
  <c r="AX12" i="12"/>
  <c r="AX24" i="12"/>
  <c r="AX18" i="12"/>
  <c r="AX29" i="12"/>
  <c r="AX35" i="12"/>
  <c r="AW12" i="12"/>
  <c r="AW24" i="12"/>
  <c r="AW18" i="12"/>
  <c r="AW29" i="12"/>
  <c r="AW35" i="12"/>
  <c r="AV12" i="12"/>
  <c r="AV24" i="12"/>
  <c r="AV18" i="12"/>
  <c r="AV29" i="12"/>
  <c r="AV35" i="12"/>
  <c r="AU12" i="12"/>
  <c r="AU24" i="12"/>
  <c r="AU18" i="12"/>
  <c r="AU29" i="12"/>
  <c r="AU35" i="12"/>
  <c r="AT12" i="12"/>
  <c r="AT24" i="12"/>
  <c r="AT18" i="12"/>
  <c r="AT29" i="12"/>
  <c r="AT35" i="12"/>
  <c r="AS12" i="12"/>
  <c r="AS24" i="12"/>
  <c r="AS18" i="12"/>
  <c r="AS29" i="12"/>
  <c r="AS35" i="12"/>
  <c r="AR12" i="12"/>
  <c r="AR24" i="12"/>
  <c r="AR18" i="12"/>
  <c r="AR29" i="12"/>
  <c r="AR35" i="12"/>
  <c r="AQ12" i="12"/>
  <c r="AQ24" i="12"/>
  <c r="AQ18" i="12"/>
  <c r="AQ29" i="12"/>
  <c r="AQ35" i="12"/>
  <c r="AP12" i="12"/>
  <c r="AP24" i="12"/>
  <c r="AP18" i="12"/>
  <c r="AP29" i="12"/>
  <c r="AP35" i="12"/>
  <c r="AO12" i="12"/>
  <c r="AO24" i="12"/>
  <c r="AO18" i="12"/>
  <c r="AO29" i="12"/>
  <c r="AO35" i="12"/>
  <c r="AN12" i="12"/>
  <c r="AN24" i="12"/>
  <c r="AN18" i="12"/>
  <c r="AN29" i="12"/>
  <c r="AN35" i="12"/>
  <c r="AM12" i="12"/>
  <c r="AM24" i="12"/>
  <c r="AM18" i="12"/>
  <c r="AM29" i="12"/>
  <c r="AM35" i="12"/>
  <c r="AL12" i="12"/>
  <c r="AL24" i="12"/>
  <c r="AL18" i="12"/>
  <c r="AL29" i="12"/>
  <c r="AL35" i="12"/>
  <c r="AK12" i="12"/>
  <c r="AK24" i="12"/>
  <c r="AK18" i="12"/>
  <c r="AK29" i="12"/>
  <c r="AK35" i="12"/>
  <c r="AJ12" i="12"/>
  <c r="AJ24" i="12"/>
  <c r="AJ18" i="12"/>
  <c r="AJ29" i="12"/>
  <c r="AJ35" i="12"/>
  <c r="AI12" i="12"/>
  <c r="AI24" i="12"/>
  <c r="AI18" i="12"/>
  <c r="AI29" i="12"/>
  <c r="AI35" i="12"/>
  <c r="AH12" i="12"/>
  <c r="AH24" i="12"/>
  <c r="AH18" i="12"/>
  <c r="AH29" i="12"/>
  <c r="AH35" i="12"/>
  <c r="AG12" i="12"/>
  <c r="AG24" i="12"/>
  <c r="AG18" i="12"/>
  <c r="AG29" i="12"/>
  <c r="AG35" i="12"/>
  <c r="AF12" i="12"/>
  <c r="AF24" i="12"/>
  <c r="AF18" i="12"/>
  <c r="AF29" i="12"/>
  <c r="AF35" i="12"/>
  <c r="AE12" i="12"/>
  <c r="AE24" i="12"/>
  <c r="AE18" i="12"/>
  <c r="AE29" i="12"/>
  <c r="AE35" i="12"/>
  <c r="AD12" i="12"/>
  <c r="AD24" i="12"/>
  <c r="AD18" i="12"/>
  <c r="AD29" i="12"/>
  <c r="AD35" i="12"/>
  <c r="AC12" i="12"/>
  <c r="AC24" i="12"/>
  <c r="AC18" i="12"/>
  <c r="AC29" i="12"/>
  <c r="AC35" i="12"/>
  <c r="AB12" i="12"/>
  <c r="AB24" i="12"/>
  <c r="AB18" i="12"/>
  <c r="AB29" i="12"/>
  <c r="AB35" i="12"/>
  <c r="AA12" i="12"/>
  <c r="AA24" i="12"/>
  <c r="AA18" i="12"/>
  <c r="AA29" i="12"/>
  <c r="AA35" i="12"/>
  <c r="Z12" i="12"/>
  <c r="Z24" i="12"/>
  <c r="Z18" i="12"/>
  <c r="Z29" i="12"/>
  <c r="Z35" i="12"/>
  <c r="Y12" i="12"/>
  <c r="Y24" i="12"/>
  <c r="Y18" i="12"/>
  <c r="Y29" i="12"/>
  <c r="Y35" i="12"/>
  <c r="X12" i="12"/>
  <c r="X24" i="12"/>
  <c r="X18" i="12"/>
  <c r="X29" i="12"/>
  <c r="X35" i="12"/>
  <c r="W12" i="12"/>
  <c r="W24" i="12"/>
  <c r="W18" i="12"/>
  <c r="W29" i="12"/>
  <c r="W35" i="12"/>
  <c r="V12" i="12"/>
  <c r="V24" i="12"/>
  <c r="V18" i="12"/>
  <c r="V29" i="12"/>
  <c r="V35" i="12"/>
  <c r="U12" i="12"/>
  <c r="U24" i="12"/>
  <c r="U18" i="12"/>
  <c r="U29" i="12"/>
  <c r="U35" i="12"/>
  <c r="T12" i="12"/>
  <c r="T24" i="12"/>
  <c r="T18" i="12"/>
  <c r="T29" i="12"/>
  <c r="T35" i="12"/>
  <c r="S12" i="12"/>
  <c r="S24" i="12"/>
  <c r="S18" i="12"/>
  <c r="S29" i="12"/>
  <c r="S35" i="12"/>
  <c r="R12" i="12"/>
  <c r="R24" i="12"/>
  <c r="R18" i="12"/>
  <c r="R29" i="12"/>
  <c r="R35" i="12"/>
  <c r="Q12" i="12"/>
  <c r="Q24" i="12"/>
  <c r="Q18" i="12"/>
  <c r="Q29" i="12"/>
  <c r="Q35" i="12"/>
  <c r="P12" i="12"/>
  <c r="P24" i="12"/>
  <c r="P18" i="12"/>
  <c r="P29" i="12"/>
  <c r="P35" i="12"/>
  <c r="O12" i="12"/>
  <c r="O24" i="12"/>
  <c r="O18" i="12"/>
  <c r="O29" i="12"/>
  <c r="O35" i="12"/>
  <c r="N12" i="12"/>
  <c r="N24" i="12"/>
  <c r="N18" i="12"/>
  <c r="N29" i="12"/>
  <c r="N35" i="12"/>
  <c r="M12" i="12"/>
  <c r="M24" i="12"/>
  <c r="M18" i="12"/>
  <c r="M29" i="12"/>
  <c r="M35" i="12"/>
  <c r="L12" i="12"/>
  <c r="L24" i="12"/>
  <c r="L18" i="12"/>
  <c r="L29" i="12"/>
  <c r="L35" i="12"/>
  <c r="K12" i="12"/>
  <c r="K24" i="12"/>
  <c r="K18" i="12"/>
  <c r="K29" i="12"/>
  <c r="K35" i="12"/>
  <c r="J12" i="12"/>
  <c r="J24" i="12"/>
  <c r="J18" i="12"/>
  <c r="J29" i="12"/>
  <c r="J35" i="12"/>
  <c r="I12" i="12"/>
  <c r="I24" i="12"/>
  <c r="I18" i="12"/>
  <c r="I29" i="12"/>
  <c r="I35" i="12"/>
  <c r="H12" i="12"/>
  <c r="H24" i="12"/>
  <c r="H18" i="12"/>
  <c r="H29" i="12"/>
  <c r="H35" i="12"/>
  <c r="G12" i="12"/>
  <c r="G24" i="12"/>
  <c r="G18" i="12"/>
  <c r="G29" i="12"/>
  <c r="G35" i="12"/>
  <c r="F12" i="12"/>
  <c r="F24" i="12"/>
  <c r="F18" i="12"/>
  <c r="F29" i="12"/>
  <c r="F35" i="12"/>
  <c r="E12" i="12"/>
  <c r="E24" i="12"/>
  <c r="E18" i="12"/>
  <c r="E29" i="12"/>
  <c r="E35" i="12"/>
  <c r="D12" i="12"/>
  <c r="D24" i="12"/>
  <c r="D18" i="12"/>
  <c r="D29" i="12"/>
  <c r="D35" i="12"/>
  <c r="C12" i="12"/>
  <c r="C24" i="12"/>
  <c r="C18" i="12"/>
  <c r="C29" i="12"/>
  <c r="C35" i="12"/>
  <c r="B12" i="12"/>
  <c r="B24" i="12"/>
  <c r="B18" i="12"/>
  <c r="B29" i="12"/>
  <c r="B35" i="12"/>
  <c r="A33" i="12"/>
  <c r="A34" i="12"/>
  <c r="A35" i="12"/>
  <c r="AY23" i="12"/>
  <c r="AY28" i="12"/>
  <c r="AY34" i="12"/>
  <c r="AX23" i="12"/>
  <c r="AX28" i="12"/>
  <c r="AX34" i="12"/>
  <c r="AW23" i="12"/>
  <c r="AW28" i="12"/>
  <c r="AW34" i="12"/>
  <c r="AV23" i="12"/>
  <c r="AV28" i="12"/>
  <c r="AV34" i="12"/>
  <c r="AU23" i="12"/>
  <c r="AU28" i="12"/>
  <c r="AU34" i="12"/>
  <c r="AT23" i="12"/>
  <c r="AT28" i="12"/>
  <c r="AT34" i="12"/>
  <c r="AS23" i="12"/>
  <c r="AS28" i="12"/>
  <c r="AS34" i="12"/>
  <c r="AR23" i="12"/>
  <c r="AR28" i="12"/>
  <c r="AR34" i="12"/>
  <c r="AQ23" i="12"/>
  <c r="AQ28" i="12"/>
  <c r="AQ34" i="12"/>
  <c r="AP23" i="12"/>
  <c r="AP28" i="12"/>
  <c r="AP34" i="12"/>
  <c r="AO23" i="12"/>
  <c r="AO28" i="12"/>
  <c r="AO34" i="12"/>
  <c r="AN23" i="12"/>
  <c r="AN28" i="12"/>
  <c r="AN34" i="12"/>
  <c r="AM23" i="12"/>
  <c r="AM28" i="12"/>
  <c r="AM34" i="12"/>
  <c r="AL23" i="12"/>
  <c r="AL28" i="12"/>
  <c r="AL34" i="12"/>
  <c r="AK23" i="12"/>
  <c r="AK28" i="12"/>
  <c r="AK34" i="12"/>
  <c r="AJ23" i="12"/>
  <c r="AJ28" i="12"/>
  <c r="AJ34" i="12"/>
  <c r="AI23" i="12"/>
  <c r="AI28" i="12"/>
  <c r="AI34" i="12"/>
  <c r="AH23" i="12"/>
  <c r="AH28" i="12"/>
  <c r="AH34" i="12"/>
  <c r="AG23" i="12"/>
  <c r="AG28" i="12"/>
  <c r="AG34" i="12"/>
  <c r="AF23" i="12"/>
  <c r="AF28" i="12"/>
  <c r="AF34" i="12"/>
  <c r="AE23" i="12"/>
  <c r="AE28" i="12"/>
  <c r="AE34" i="12"/>
  <c r="AD23" i="12"/>
  <c r="AD28" i="12"/>
  <c r="AD34" i="12"/>
  <c r="AC23" i="12"/>
  <c r="AC28" i="12"/>
  <c r="AC34" i="12"/>
  <c r="AB23" i="12"/>
  <c r="AB28" i="12"/>
  <c r="AB34" i="12"/>
  <c r="AA23" i="12"/>
  <c r="AA28" i="12"/>
  <c r="AA34" i="12"/>
  <c r="Z23" i="12"/>
  <c r="Z28" i="12"/>
  <c r="Z34" i="12"/>
  <c r="Y23" i="12"/>
  <c r="Y28" i="12"/>
  <c r="Y34" i="12"/>
  <c r="X23" i="12"/>
  <c r="X28" i="12"/>
  <c r="X34" i="12"/>
  <c r="W23" i="12"/>
  <c r="W28" i="12"/>
  <c r="W34" i="12"/>
  <c r="V23" i="12"/>
  <c r="V28" i="12"/>
  <c r="V34" i="12"/>
  <c r="U23" i="12"/>
  <c r="U28" i="12"/>
  <c r="U34" i="12"/>
  <c r="T23" i="12"/>
  <c r="T28" i="12"/>
  <c r="T34" i="12"/>
  <c r="S23" i="12"/>
  <c r="S28" i="12"/>
  <c r="S34" i="12"/>
  <c r="R23" i="12"/>
  <c r="R28" i="12"/>
  <c r="R34" i="12"/>
  <c r="Q23" i="12"/>
  <c r="Q28" i="12"/>
  <c r="Q34" i="12"/>
  <c r="P23" i="12"/>
  <c r="P28" i="12"/>
  <c r="P34" i="12"/>
  <c r="O23" i="12"/>
  <c r="O28" i="12"/>
  <c r="O34" i="12"/>
  <c r="N23" i="12"/>
  <c r="N28" i="12"/>
  <c r="N34" i="12"/>
  <c r="M23" i="12"/>
  <c r="M28" i="12"/>
  <c r="M34" i="12"/>
  <c r="L23" i="12"/>
  <c r="L28" i="12"/>
  <c r="L34" i="12"/>
  <c r="K23" i="12"/>
  <c r="K28" i="12"/>
  <c r="K34" i="12"/>
  <c r="J23" i="12"/>
  <c r="J28" i="12"/>
  <c r="J34" i="12"/>
  <c r="I23" i="12"/>
  <c r="I28" i="12"/>
  <c r="I34" i="12"/>
  <c r="H23" i="12"/>
  <c r="H28" i="12"/>
  <c r="H34" i="12"/>
  <c r="G23" i="12"/>
  <c r="G28" i="12"/>
  <c r="G34" i="12"/>
  <c r="F23" i="12"/>
  <c r="F28" i="12"/>
  <c r="F34" i="12"/>
  <c r="E23" i="12"/>
  <c r="E28" i="12"/>
  <c r="E34" i="12"/>
  <c r="D23" i="12"/>
  <c r="D28" i="12"/>
  <c r="D34" i="12"/>
  <c r="C23" i="12"/>
  <c r="C28" i="12"/>
  <c r="C34" i="12"/>
  <c r="B23" i="12"/>
  <c r="B28" i="12"/>
  <c r="B34" i="12"/>
  <c r="AY22" i="12"/>
  <c r="AY27" i="12"/>
  <c r="AY33" i="12"/>
  <c r="AX22" i="12"/>
  <c r="AX27" i="12"/>
  <c r="AX33" i="12"/>
  <c r="AW22" i="12"/>
  <c r="AW27" i="12"/>
  <c r="AW33" i="12"/>
  <c r="AV22" i="12"/>
  <c r="AV27" i="12"/>
  <c r="AV33" i="12"/>
  <c r="AU22" i="12"/>
  <c r="AU27" i="12"/>
  <c r="AU33" i="12"/>
  <c r="AT22" i="12"/>
  <c r="AT27" i="12"/>
  <c r="AT33" i="12"/>
  <c r="AS22" i="12"/>
  <c r="AS27" i="12"/>
  <c r="AS33" i="12"/>
  <c r="AR22" i="12"/>
  <c r="AR27" i="12"/>
  <c r="AR33" i="12"/>
  <c r="AQ22" i="12"/>
  <c r="AQ27" i="12"/>
  <c r="AQ33" i="12"/>
  <c r="AP22" i="12"/>
  <c r="AP27" i="12"/>
  <c r="AP33" i="12"/>
  <c r="AO22" i="12"/>
  <c r="AO27" i="12"/>
  <c r="AO33" i="12"/>
  <c r="AN22" i="12"/>
  <c r="AN27" i="12"/>
  <c r="AN33" i="12"/>
  <c r="AM22" i="12"/>
  <c r="AM27" i="12"/>
  <c r="AM33" i="12"/>
  <c r="AL22" i="12"/>
  <c r="AL27" i="12"/>
  <c r="AL33" i="12"/>
  <c r="AK22" i="12"/>
  <c r="AK27" i="12"/>
  <c r="AK33" i="12"/>
  <c r="AJ22" i="12"/>
  <c r="AJ27" i="12"/>
  <c r="AJ33" i="12"/>
  <c r="AI22" i="12"/>
  <c r="AI27" i="12"/>
  <c r="AI33" i="12"/>
  <c r="AH22" i="12"/>
  <c r="AH27" i="12"/>
  <c r="AH33" i="12"/>
  <c r="AG22" i="12"/>
  <c r="AG27" i="12"/>
  <c r="AG33" i="12"/>
  <c r="AF22" i="12"/>
  <c r="AF27" i="12"/>
  <c r="AF33" i="12"/>
  <c r="AE22" i="12"/>
  <c r="AE27" i="12"/>
  <c r="AE33" i="12"/>
  <c r="AD22" i="12"/>
  <c r="AD27" i="12"/>
  <c r="AD33" i="12"/>
  <c r="AC22" i="12"/>
  <c r="AC27" i="12"/>
  <c r="AC33" i="12"/>
  <c r="AB22" i="12"/>
  <c r="AB27" i="12"/>
  <c r="AB33" i="12"/>
  <c r="AA22" i="12"/>
  <c r="AA27" i="12"/>
  <c r="AA33" i="12"/>
  <c r="Z22" i="12"/>
  <c r="Z27" i="12"/>
  <c r="Z33" i="12"/>
  <c r="Y22" i="12"/>
  <c r="Y27" i="12"/>
  <c r="Y33" i="12"/>
  <c r="X22" i="12"/>
  <c r="X27" i="12"/>
  <c r="X33" i="12"/>
  <c r="W22" i="12"/>
  <c r="W27" i="12"/>
  <c r="W33" i="12"/>
  <c r="V22" i="12"/>
  <c r="V27" i="12"/>
  <c r="V33" i="12"/>
  <c r="U22" i="12"/>
  <c r="U27" i="12"/>
  <c r="U33" i="12"/>
  <c r="T22" i="12"/>
  <c r="T27" i="12"/>
  <c r="T33" i="12"/>
  <c r="S22" i="12"/>
  <c r="S27" i="12"/>
  <c r="S33" i="12"/>
  <c r="R22" i="12"/>
  <c r="R27" i="12"/>
  <c r="R33" i="12"/>
  <c r="Q22" i="12"/>
  <c r="Q27" i="12"/>
  <c r="Q33" i="12"/>
  <c r="P22" i="12"/>
  <c r="P27" i="12"/>
  <c r="P33" i="12"/>
  <c r="O22" i="12"/>
  <c r="O27" i="12"/>
  <c r="O33" i="12"/>
  <c r="N22" i="12"/>
  <c r="N27" i="12"/>
  <c r="N33" i="12"/>
  <c r="M22" i="12"/>
  <c r="M27" i="12"/>
  <c r="M33" i="12"/>
  <c r="L22" i="12"/>
  <c r="L27" i="12"/>
  <c r="L33" i="12"/>
  <c r="K22" i="12"/>
  <c r="K27" i="12"/>
  <c r="K33" i="12"/>
  <c r="J22" i="12"/>
  <c r="J27" i="12"/>
  <c r="J33" i="12"/>
  <c r="I22" i="12"/>
  <c r="I27" i="12"/>
  <c r="I33" i="12"/>
  <c r="H22" i="12"/>
  <c r="H27" i="12"/>
  <c r="H33" i="12"/>
  <c r="G22" i="12"/>
  <c r="G27" i="12"/>
  <c r="G33" i="12"/>
  <c r="F22" i="12"/>
  <c r="F27" i="12"/>
  <c r="F33" i="12"/>
  <c r="E22" i="12"/>
  <c r="E27" i="12"/>
  <c r="E33" i="12"/>
  <c r="D22" i="12"/>
  <c r="D27" i="12"/>
  <c r="D33" i="12"/>
  <c r="C22" i="12"/>
  <c r="C27" i="12"/>
  <c r="C33" i="12"/>
  <c r="B22" i="12"/>
  <c r="B27" i="12"/>
  <c r="B33" i="12"/>
  <c r="AY21" i="12"/>
  <c r="AY26" i="12"/>
  <c r="AY32" i="12"/>
  <c r="AX21" i="12"/>
  <c r="AX26" i="12"/>
  <c r="AX32" i="12"/>
  <c r="AW21" i="12"/>
  <c r="AW26" i="12"/>
  <c r="AW32" i="12"/>
  <c r="AV21" i="12"/>
  <c r="AV26" i="12"/>
  <c r="AV32" i="12"/>
  <c r="AU21" i="12"/>
  <c r="AU26" i="12"/>
  <c r="AU32" i="12"/>
  <c r="AT21" i="12"/>
  <c r="AT26" i="12"/>
  <c r="AT32" i="12"/>
  <c r="AS21" i="12"/>
  <c r="AS26" i="12"/>
  <c r="AS32" i="12"/>
  <c r="AR21" i="12"/>
  <c r="AR26" i="12"/>
  <c r="AR32" i="12"/>
  <c r="AQ21" i="12"/>
  <c r="AQ26" i="12"/>
  <c r="AQ32" i="12"/>
  <c r="AP21" i="12"/>
  <c r="AP26" i="12"/>
  <c r="AP32" i="12"/>
  <c r="AO21" i="12"/>
  <c r="AO26" i="12"/>
  <c r="AO32" i="12"/>
  <c r="AN21" i="12"/>
  <c r="AN26" i="12"/>
  <c r="AN32" i="12"/>
  <c r="AM21" i="12"/>
  <c r="AM26" i="12"/>
  <c r="AM32" i="12"/>
  <c r="AL21" i="12"/>
  <c r="AL26" i="12"/>
  <c r="AL32" i="12"/>
  <c r="AK21" i="12"/>
  <c r="AK26" i="12"/>
  <c r="AK32" i="12"/>
  <c r="AJ21" i="12"/>
  <c r="AJ26" i="12"/>
  <c r="AJ32" i="12"/>
  <c r="AI21" i="12"/>
  <c r="AI26" i="12"/>
  <c r="AI32" i="12"/>
  <c r="AH21" i="12"/>
  <c r="AH26" i="12"/>
  <c r="AH32" i="12"/>
  <c r="AG21" i="12"/>
  <c r="AG26" i="12"/>
  <c r="AG32" i="12"/>
  <c r="AF21" i="12"/>
  <c r="AF26" i="12"/>
  <c r="AF32" i="12"/>
  <c r="AE21" i="12"/>
  <c r="AE26" i="12"/>
  <c r="AE32" i="12"/>
  <c r="AD21" i="12"/>
  <c r="AD26" i="12"/>
  <c r="AD32" i="12"/>
  <c r="AC21" i="12"/>
  <c r="AC26" i="12"/>
  <c r="AC32" i="12"/>
  <c r="AB21" i="12"/>
  <c r="AB26" i="12"/>
  <c r="AB32" i="12"/>
  <c r="AA21" i="12"/>
  <c r="AA26" i="12"/>
  <c r="AA32" i="12"/>
  <c r="Z21" i="12"/>
  <c r="Z26" i="12"/>
  <c r="Z32" i="12"/>
  <c r="Y21" i="12"/>
  <c r="Y26" i="12"/>
  <c r="Y32" i="12"/>
  <c r="X21" i="12"/>
  <c r="X26" i="12"/>
  <c r="X32" i="12"/>
  <c r="W21" i="12"/>
  <c r="W26" i="12"/>
  <c r="W32" i="12"/>
  <c r="V21" i="12"/>
  <c r="V26" i="12"/>
  <c r="V32" i="12"/>
  <c r="U21" i="12"/>
  <c r="U26" i="12"/>
  <c r="U32" i="12"/>
  <c r="T21" i="12"/>
  <c r="T26" i="12"/>
  <c r="T32" i="12"/>
  <c r="S21" i="12"/>
  <c r="S26" i="12"/>
  <c r="S32" i="12"/>
  <c r="R21" i="12"/>
  <c r="R26" i="12"/>
  <c r="R32" i="12"/>
  <c r="Q21" i="12"/>
  <c r="Q26" i="12"/>
  <c r="Q32" i="12"/>
  <c r="P21" i="12"/>
  <c r="P26" i="12"/>
  <c r="P32" i="12"/>
  <c r="O21" i="12"/>
  <c r="O26" i="12"/>
  <c r="O32" i="12"/>
  <c r="N21" i="12"/>
  <c r="N26" i="12"/>
  <c r="N32" i="12"/>
  <c r="M21" i="12"/>
  <c r="M26" i="12"/>
  <c r="M32" i="12"/>
  <c r="L21" i="12"/>
  <c r="L26" i="12"/>
  <c r="L32" i="12"/>
  <c r="K21" i="12"/>
  <c r="K26" i="12"/>
  <c r="K32" i="12"/>
  <c r="J21" i="12"/>
  <c r="J26" i="12"/>
  <c r="J32" i="12"/>
  <c r="I21" i="12"/>
  <c r="I26" i="12"/>
  <c r="I32" i="12"/>
  <c r="H21" i="12"/>
  <c r="H26" i="12"/>
  <c r="H32" i="12"/>
  <c r="G21" i="12"/>
  <c r="G26" i="12"/>
  <c r="G32" i="12"/>
  <c r="F21" i="12"/>
  <c r="F26" i="12"/>
  <c r="F32" i="12"/>
  <c r="E21" i="12"/>
  <c r="E26" i="12"/>
  <c r="E32" i="12"/>
  <c r="D21" i="12"/>
  <c r="D26" i="12"/>
  <c r="D32" i="12"/>
  <c r="C21" i="12"/>
  <c r="C26" i="12"/>
  <c r="C32" i="12"/>
  <c r="B21" i="12"/>
  <c r="B26" i="12"/>
  <c r="B32" i="12"/>
  <c r="A27" i="12"/>
  <c r="A28" i="12"/>
  <c r="A29" i="12"/>
  <c r="A22" i="12"/>
  <c r="A23" i="12"/>
  <c r="A24" i="12"/>
  <c r="A15" i="12"/>
  <c r="A16" i="12"/>
  <c r="A17" i="12"/>
  <c r="A9" i="12"/>
  <c r="A10" i="12"/>
  <c r="A11" i="12"/>
  <c r="B10" i="11"/>
  <c r="B11" i="11"/>
  <c r="B13" i="11"/>
  <c r="C3" i="11"/>
  <c r="C4" i="11"/>
  <c r="C11" i="11"/>
  <c r="C5" i="11"/>
  <c r="C12" i="11"/>
  <c r="C10" i="11"/>
  <c r="D3" i="11"/>
  <c r="D4" i="11"/>
  <c r="D11" i="11"/>
  <c r="D5" i="11"/>
  <c r="D12" i="11"/>
  <c r="D6" i="11"/>
  <c r="D13" i="11"/>
  <c r="D10" i="11"/>
  <c r="E4" i="11"/>
  <c r="E11" i="11"/>
  <c r="E3" i="11"/>
  <c r="E5" i="11"/>
  <c r="E12" i="11"/>
  <c r="E6" i="11"/>
  <c r="E13" i="11"/>
  <c r="E10" i="11"/>
  <c r="E14" i="11"/>
  <c r="E24" i="11"/>
  <c r="B19" i="11"/>
  <c r="B18" i="11"/>
  <c r="B17" i="11"/>
  <c r="B16" i="11"/>
  <c r="C17" i="11"/>
  <c r="C18" i="11"/>
  <c r="C19" i="11"/>
  <c r="C16" i="11"/>
  <c r="D17" i="11"/>
  <c r="D18" i="11"/>
  <c r="D19" i="11"/>
  <c r="D16" i="11"/>
  <c r="E17" i="11"/>
  <c r="E18" i="11"/>
  <c r="E19" i="11"/>
  <c r="E16" i="11"/>
  <c r="F4" i="11"/>
  <c r="F17" i="11"/>
  <c r="F3" i="11"/>
  <c r="F5" i="11"/>
  <c r="F18" i="11"/>
  <c r="F6" i="11"/>
  <c r="F19" i="11"/>
  <c r="F16" i="11"/>
  <c r="G4" i="11"/>
  <c r="G17" i="11"/>
  <c r="G3" i="11"/>
  <c r="G5" i="11"/>
  <c r="G18" i="11"/>
  <c r="G6" i="11"/>
  <c r="G19" i="11"/>
  <c r="G16" i="11"/>
  <c r="H4" i="11"/>
  <c r="H17" i="11"/>
  <c r="H3" i="11"/>
  <c r="H5" i="11"/>
  <c r="H18" i="11"/>
  <c r="H6" i="11"/>
  <c r="H19" i="11"/>
  <c r="H16" i="11"/>
  <c r="I4" i="11"/>
  <c r="I17" i="11"/>
  <c r="I3" i="11"/>
  <c r="I5" i="11"/>
  <c r="I18" i="11"/>
  <c r="I6" i="11"/>
  <c r="I19" i="11"/>
  <c r="I16" i="11"/>
  <c r="J4" i="11"/>
  <c r="J17" i="11"/>
  <c r="J3" i="11"/>
  <c r="J5" i="11"/>
  <c r="J18" i="11"/>
  <c r="J6" i="11"/>
  <c r="J19" i="11"/>
  <c r="J16" i="11"/>
  <c r="K4" i="11"/>
  <c r="K17" i="11"/>
  <c r="K3" i="11"/>
  <c r="K5" i="11"/>
  <c r="K18" i="11"/>
  <c r="K6" i="11"/>
  <c r="K19" i="11"/>
  <c r="K16" i="11"/>
  <c r="L4" i="11"/>
  <c r="L17" i="11"/>
  <c r="L3" i="11"/>
  <c r="L5" i="11"/>
  <c r="L18" i="11"/>
  <c r="L6" i="11"/>
  <c r="L19" i="11"/>
  <c r="L16" i="11"/>
  <c r="M4" i="11"/>
  <c r="M17" i="11"/>
  <c r="M3" i="11"/>
  <c r="M5" i="11"/>
  <c r="M18" i="11"/>
  <c r="M6" i="11"/>
  <c r="M19" i="11"/>
  <c r="M16" i="11"/>
  <c r="N4" i="11"/>
  <c r="N17" i="11"/>
  <c r="N3" i="11"/>
  <c r="N5" i="11"/>
  <c r="N18" i="11"/>
  <c r="N6" i="11"/>
  <c r="N19" i="11"/>
  <c r="N16" i="11"/>
  <c r="O4" i="11"/>
  <c r="O17" i="11"/>
  <c r="O3" i="11"/>
  <c r="O5" i="11"/>
  <c r="O18" i="11"/>
  <c r="O6" i="11"/>
  <c r="O19" i="11"/>
  <c r="O16" i="11"/>
  <c r="P4" i="11"/>
  <c r="P17" i="11"/>
  <c r="P3" i="11"/>
  <c r="P5" i="11"/>
  <c r="P18" i="11"/>
  <c r="P6" i="11"/>
  <c r="P19" i="11"/>
  <c r="P16" i="11"/>
  <c r="Q4" i="11"/>
  <c r="Q17" i="11"/>
  <c r="Q3" i="11"/>
  <c r="Q5" i="11"/>
  <c r="Q18" i="11"/>
  <c r="Q6" i="11"/>
  <c r="Q19" i="11"/>
  <c r="Q16" i="11"/>
  <c r="R4" i="11"/>
  <c r="R17" i="11"/>
  <c r="R3" i="11"/>
  <c r="R5" i="11"/>
  <c r="R18" i="11"/>
  <c r="R6" i="11"/>
  <c r="R19" i="11"/>
  <c r="R16" i="11"/>
  <c r="S4" i="11"/>
  <c r="S17" i="11"/>
  <c r="S3" i="11"/>
  <c r="S5" i="11"/>
  <c r="S18" i="11"/>
  <c r="S6" i="11"/>
  <c r="S19" i="11"/>
  <c r="S16" i="11"/>
  <c r="T4" i="11"/>
  <c r="T17" i="11"/>
  <c r="T3" i="11"/>
  <c r="T5" i="11"/>
  <c r="T18" i="11"/>
  <c r="T6" i="11"/>
  <c r="T19" i="11"/>
  <c r="T16" i="11"/>
  <c r="U4" i="11"/>
  <c r="U17" i="11"/>
  <c r="U3" i="11"/>
  <c r="U5" i="11"/>
  <c r="U18" i="11"/>
  <c r="U6" i="11"/>
  <c r="U19" i="11"/>
  <c r="U16" i="11"/>
  <c r="V4" i="11"/>
  <c r="V17" i="11"/>
  <c r="V3" i="11"/>
  <c r="V5" i="11"/>
  <c r="V18" i="11"/>
  <c r="V6" i="11"/>
  <c r="V19" i="11"/>
  <c r="V16" i="11"/>
  <c r="W4" i="11"/>
  <c r="W17" i="11"/>
  <c r="W3" i="11"/>
  <c r="W5" i="11"/>
  <c r="W18" i="11"/>
  <c r="W6" i="11"/>
  <c r="W19" i="11"/>
  <c r="W16" i="11"/>
  <c r="X4" i="11"/>
  <c r="X17" i="11"/>
  <c r="X3" i="11"/>
  <c r="X5" i="11"/>
  <c r="X18" i="11"/>
  <c r="X6" i="11"/>
  <c r="X19" i="11"/>
  <c r="X16" i="11"/>
  <c r="Y4" i="11"/>
  <c r="Y17" i="11"/>
  <c r="Y3" i="11"/>
  <c r="Y5" i="11"/>
  <c r="Y18" i="11"/>
  <c r="Y6" i="11"/>
  <c r="Y19" i="11"/>
  <c r="Y16" i="11"/>
  <c r="Z4" i="11"/>
  <c r="Z17" i="11"/>
  <c r="Z3" i="11"/>
  <c r="Z5" i="11"/>
  <c r="Z18" i="11"/>
  <c r="Z6" i="11"/>
  <c r="Z19" i="11"/>
  <c r="Z16" i="11"/>
  <c r="AA4" i="11"/>
  <c r="AA17" i="11"/>
  <c r="AA3" i="11"/>
  <c r="AA5" i="11"/>
  <c r="AA18" i="11"/>
  <c r="AA6" i="11"/>
  <c r="AA19" i="11"/>
  <c r="AA16" i="11"/>
  <c r="AB4" i="11"/>
  <c r="AB17" i="11"/>
  <c r="AB3" i="11"/>
  <c r="AB5" i="11"/>
  <c r="AB18" i="11"/>
  <c r="AB6" i="11"/>
  <c r="AB19" i="11"/>
  <c r="AB16" i="11"/>
  <c r="AC4" i="11"/>
  <c r="AC17" i="11"/>
  <c r="AC3" i="11"/>
  <c r="AC5" i="11"/>
  <c r="AC18" i="11"/>
  <c r="AC6" i="11"/>
  <c r="AC19" i="11"/>
  <c r="AC16" i="11"/>
  <c r="AD4" i="11"/>
  <c r="AD17" i="11"/>
  <c r="AD3" i="11"/>
  <c r="AD5" i="11"/>
  <c r="AD18" i="11"/>
  <c r="AD6" i="11"/>
  <c r="AD19" i="11"/>
  <c r="AD16" i="11"/>
  <c r="AE4" i="11"/>
  <c r="AE17" i="11"/>
  <c r="AE3" i="11"/>
  <c r="AE5" i="11"/>
  <c r="AE18" i="11"/>
  <c r="AE6" i="11"/>
  <c r="AE19" i="11"/>
  <c r="AE16" i="11"/>
  <c r="AF4" i="11"/>
  <c r="AF17" i="11"/>
  <c r="AF3" i="11"/>
  <c r="AF5" i="11"/>
  <c r="AF18" i="11"/>
  <c r="AF6" i="11"/>
  <c r="AF19" i="11"/>
  <c r="AF16" i="11"/>
  <c r="AG4" i="11"/>
  <c r="AG17" i="11"/>
  <c r="AG3" i="11"/>
  <c r="AG5" i="11"/>
  <c r="AG18" i="11"/>
  <c r="AG6" i="11"/>
  <c r="AG19" i="11"/>
  <c r="AG16" i="11"/>
  <c r="AH4" i="11"/>
  <c r="AH17" i="11"/>
  <c r="AH3" i="11"/>
  <c r="AH5" i="11"/>
  <c r="AH18" i="11"/>
  <c r="AH6" i="11"/>
  <c r="AH19" i="11"/>
  <c r="AH16" i="11"/>
  <c r="AI4" i="11"/>
  <c r="AI17" i="11"/>
  <c r="AI3" i="11"/>
  <c r="AI5" i="11"/>
  <c r="AI18" i="11"/>
  <c r="AI6" i="11"/>
  <c r="AI19" i="11"/>
  <c r="AI16" i="11"/>
  <c r="AJ4" i="11"/>
  <c r="AJ17" i="11"/>
  <c r="AJ3" i="11"/>
  <c r="AJ5" i="11"/>
  <c r="AJ18" i="11"/>
  <c r="AJ6" i="11"/>
  <c r="AJ19" i="11"/>
  <c r="AJ16" i="11"/>
  <c r="AK4" i="11"/>
  <c r="AK17" i="11"/>
  <c r="AK3" i="11"/>
  <c r="AK5" i="11"/>
  <c r="AK18" i="11"/>
  <c r="AK6" i="11"/>
  <c r="AK19" i="11"/>
  <c r="AK16" i="11"/>
  <c r="AL4" i="11"/>
  <c r="AL17" i="11"/>
  <c r="AL3" i="11"/>
  <c r="AL5" i="11"/>
  <c r="AL18" i="11"/>
  <c r="AL6" i="11"/>
  <c r="AL19" i="11"/>
  <c r="AL16" i="11"/>
  <c r="AM4" i="11"/>
  <c r="AM17" i="11"/>
  <c r="AM3" i="11"/>
  <c r="AM5" i="11"/>
  <c r="AM18" i="11"/>
  <c r="AM6" i="11"/>
  <c r="AM19" i="11"/>
  <c r="AM16" i="11"/>
  <c r="AN4" i="11"/>
  <c r="AN17" i="11"/>
  <c r="AN3" i="11"/>
  <c r="AN5" i="11"/>
  <c r="AN18" i="11"/>
  <c r="AN6" i="11"/>
  <c r="AN19" i="11"/>
  <c r="AN16" i="11"/>
  <c r="AO4" i="11"/>
  <c r="AO17" i="11"/>
  <c r="AO3" i="11"/>
  <c r="AO5" i="11"/>
  <c r="AO18" i="11"/>
  <c r="AO6" i="11"/>
  <c r="AO19" i="11"/>
  <c r="AO16" i="11"/>
  <c r="AP4" i="11"/>
  <c r="AP17" i="11"/>
  <c r="AP3" i="11"/>
  <c r="AP5" i="11"/>
  <c r="AP18" i="11"/>
  <c r="AP6" i="11"/>
  <c r="AP19" i="11"/>
  <c r="AP16" i="11"/>
  <c r="AQ4" i="11"/>
  <c r="AQ17" i="11"/>
  <c r="AQ3" i="11"/>
  <c r="AQ5" i="11"/>
  <c r="AQ18" i="11"/>
  <c r="AQ6" i="11"/>
  <c r="AQ19" i="11"/>
  <c r="AQ16" i="11"/>
  <c r="AR4" i="11"/>
  <c r="AR17" i="11"/>
  <c r="AR3" i="11"/>
  <c r="AR5" i="11"/>
  <c r="AR18" i="11"/>
  <c r="AR6" i="11"/>
  <c r="AR19" i="11"/>
  <c r="AR16" i="11"/>
  <c r="AS4" i="11"/>
  <c r="AS17" i="11"/>
  <c r="AS3" i="11"/>
  <c r="AS5" i="11"/>
  <c r="AS18" i="11"/>
  <c r="AS6" i="11"/>
  <c r="AS19" i="11"/>
  <c r="AS16" i="11"/>
  <c r="AT4" i="11"/>
  <c r="AT17" i="11"/>
  <c r="AT3" i="11"/>
  <c r="AT5" i="11"/>
  <c r="AT18" i="11"/>
  <c r="AT6" i="11"/>
  <c r="AT19" i="11"/>
  <c r="AT16" i="11"/>
  <c r="AU4" i="11"/>
  <c r="AU17" i="11"/>
  <c r="AU3" i="11"/>
  <c r="AU5" i="11"/>
  <c r="AU18" i="11"/>
  <c r="AU6" i="11"/>
  <c r="AU19" i="11"/>
  <c r="AU16" i="11"/>
  <c r="AV4" i="11"/>
  <c r="AV17" i="11"/>
  <c r="AV3" i="11"/>
  <c r="AV5" i="11"/>
  <c r="AV18" i="11"/>
  <c r="AV6" i="11"/>
  <c r="AV19" i="11"/>
  <c r="AV16" i="11"/>
  <c r="AW4" i="11"/>
  <c r="AW17" i="11"/>
  <c r="AW3" i="11"/>
  <c r="AW5" i="11"/>
  <c r="AW18" i="11"/>
  <c r="AW6" i="11"/>
  <c r="AW19" i="11"/>
  <c r="AW16" i="11"/>
  <c r="AX4" i="11"/>
  <c r="AX17" i="11"/>
  <c r="AX3" i="11"/>
  <c r="AX5" i="11"/>
  <c r="AX18" i="11"/>
  <c r="AX6" i="11"/>
  <c r="AX19" i="11"/>
  <c r="AX16" i="11"/>
  <c r="AY4" i="11"/>
  <c r="AY17" i="11"/>
  <c r="AY5" i="11"/>
  <c r="AY18" i="11"/>
  <c r="AY6" i="11"/>
  <c r="AY19" i="11"/>
  <c r="F11" i="11"/>
  <c r="F12" i="11"/>
  <c r="F13" i="11"/>
  <c r="F10" i="11"/>
  <c r="G11" i="11"/>
  <c r="G12" i="11"/>
  <c r="G13" i="11"/>
  <c r="G10" i="11"/>
  <c r="H11" i="11"/>
  <c r="H12" i="11"/>
  <c r="H13" i="11"/>
  <c r="H10" i="11"/>
  <c r="I11" i="11"/>
  <c r="I12" i="11"/>
  <c r="I13" i="11"/>
  <c r="I10" i="11"/>
  <c r="J11" i="11"/>
  <c r="J12" i="11"/>
  <c r="J13" i="11"/>
  <c r="J10" i="11"/>
  <c r="K11" i="11"/>
  <c r="K12" i="11"/>
  <c r="K13" i="11"/>
  <c r="K10" i="11"/>
  <c r="L11" i="11"/>
  <c r="L12" i="11"/>
  <c r="L13" i="11"/>
  <c r="L10" i="11"/>
  <c r="M11" i="11"/>
  <c r="M12" i="11"/>
  <c r="M13" i="11"/>
  <c r="M10" i="11"/>
  <c r="N11" i="11"/>
  <c r="N12" i="11"/>
  <c r="N13" i="11"/>
  <c r="N10" i="11"/>
  <c r="O11" i="11"/>
  <c r="O12" i="11"/>
  <c r="O13" i="11"/>
  <c r="O10" i="11"/>
  <c r="P11" i="11"/>
  <c r="P12" i="11"/>
  <c r="P13" i="11"/>
  <c r="P10" i="11"/>
  <c r="Q11" i="11"/>
  <c r="Q12" i="11"/>
  <c r="Q13" i="11"/>
  <c r="Q10" i="11"/>
  <c r="R11" i="11"/>
  <c r="R12" i="11"/>
  <c r="R13" i="11"/>
  <c r="R10" i="11"/>
  <c r="S11" i="11"/>
  <c r="S12" i="11"/>
  <c r="S13" i="11"/>
  <c r="S10" i="11"/>
  <c r="T11" i="11"/>
  <c r="T12" i="11"/>
  <c r="T13" i="11"/>
  <c r="T10" i="11"/>
  <c r="U11" i="11"/>
  <c r="U12" i="11"/>
  <c r="U13" i="11"/>
  <c r="U10" i="11"/>
  <c r="V11" i="11"/>
  <c r="V12" i="11"/>
  <c r="V13" i="11"/>
  <c r="V10" i="11"/>
  <c r="W11" i="11"/>
  <c r="W12" i="11"/>
  <c r="W13" i="11"/>
  <c r="W10" i="11"/>
  <c r="X11" i="11"/>
  <c r="X12" i="11"/>
  <c r="X13" i="11"/>
  <c r="X10" i="11"/>
  <c r="Y11" i="11"/>
  <c r="Y12" i="11"/>
  <c r="Y13" i="11"/>
  <c r="Y10" i="11"/>
  <c r="Z11" i="11"/>
  <c r="Z12" i="11"/>
  <c r="Z13" i="11"/>
  <c r="Z10" i="11"/>
  <c r="AA11" i="11"/>
  <c r="AA12" i="11"/>
  <c r="AA13" i="11"/>
  <c r="AA10" i="11"/>
  <c r="AB11" i="11"/>
  <c r="AB12" i="11"/>
  <c r="AB13" i="11"/>
  <c r="AB10" i="11"/>
  <c r="AC11" i="11"/>
  <c r="AC12" i="11"/>
  <c r="AC13" i="11"/>
  <c r="AC10" i="11"/>
  <c r="AD11" i="11"/>
  <c r="AD12" i="11"/>
  <c r="AD13" i="11"/>
  <c r="AD10" i="11"/>
  <c r="AE11" i="11"/>
  <c r="AE12" i="11"/>
  <c r="AE13" i="11"/>
  <c r="AE10" i="11"/>
  <c r="AF11" i="11"/>
  <c r="AF12" i="11"/>
  <c r="AF13" i="11"/>
  <c r="AF10" i="11"/>
  <c r="AG11" i="11"/>
  <c r="AG12" i="11"/>
  <c r="AG13" i="11"/>
  <c r="AG10" i="11"/>
  <c r="AH11" i="11"/>
  <c r="AH12" i="11"/>
  <c r="AH13" i="11"/>
  <c r="AH10" i="11"/>
  <c r="AI11" i="11"/>
  <c r="AI12" i="11"/>
  <c r="AI13" i="11"/>
  <c r="AI10" i="11"/>
  <c r="AJ11" i="11"/>
  <c r="AJ12" i="11"/>
  <c r="AJ13" i="11"/>
  <c r="AJ10" i="11"/>
  <c r="AK11" i="11"/>
  <c r="AK12" i="11"/>
  <c r="AK13" i="11"/>
  <c r="AK10" i="11"/>
  <c r="AL11" i="11"/>
  <c r="AL12" i="11"/>
  <c r="AL13" i="11"/>
  <c r="AL10" i="11"/>
  <c r="AM11" i="11"/>
  <c r="AM12" i="11"/>
  <c r="AM13" i="11"/>
  <c r="AM10" i="11"/>
  <c r="AN11" i="11"/>
  <c r="AN12" i="11"/>
  <c r="AN13" i="11"/>
  <c r="AN10" i="11"/>
  <c r="AO11" i="11"/>
  <c r="AO12" i="11"/>
  <c r="AO13" i="11"/>
  <c r="AO10" i="11"/>
  <c r="AP11" i="11"/>
  <c r="AP12" i="11"/>
  <c r="AP13" i="11"/>
  <c r="AP10" i="11"/>
  <c r="AQ11" i="11"/>
  <c r="AQ12" i="11"/>
  <c r="AQ13" i="11"/>
  <c r="AQ10" i="11"/>
  <c r="AR11" i="11"/>
  <c r="AR12" i="11"/>
  <c r="AR13" i="11"/>
  <c r="AR10" i="11"/>
  <c r="AS11" i="11"/>
  <c r="AS12" i="11"/>
  <c r="AS13" i="11"/>
  <c r="AS10" i="11"/>
  <c r="AT11" i="11"/>
  <c r="AT12" i="11"/>
  <c r="AT13" i="11"/>
  <c r="AT10" i="11"/>
  <c r="AU11" i="11"/>
  <c r="AU12" i="11"/>
  <c r="AU13" i="11"/>
  <c r="AU10" i="11"/>
  <c r="AV11" i="11"/>
  <c r="AV12" i="11"/>
  <c r="AV13" i="11"/>
  <c r="AV10" i="11"/>
  <c r="AW11" i="11"/>
  <c r="AW12" i="11"/>
  <c r="AW13" i="11"/>
  <c r="AW10" i="11"/>
  <c r="AX11" i="11"/>
  <c r="AX12" i="11"/>
  <c r="AX13" i="11"/>
  <c r="AX10" i="11"/>
  <c r="AY11" i="11"/>
  <c r="AY12" i="11"/>
  <c r="AY13" i="11"/>
  <c r="B5" i="11"/>
  <c r="B6" i="11"/>
  <c r="B4" i="11"/>
  <c r="AY3" i="11"/>
  <c r="B3" i="11"/>
  <c r="C14" i="11"/>
  <c r="C23" i="11"/>
  <c r="C20" i="11"/>
  <c r="C28" i="11"/>
  <c r="C34" i="11"/>
  <c r="D14" i="11"/>
  <c r="D23" i="11"/>
  <c r="D20" i="11"/>
  <c r="D28" i="11"/>
  <c r="D34" i="11"/>
  <c r="E23" i="11"/>
  <c r="E20" i="11"/>
  <c r="E28" i="11"/>
  <c r="E34" i="11"/>
  <c r="F14" i="11"/>
  <c r="F23" i="11"/>
  <c r="F20" i="11"/>
  <c r="F28" i="11"/>
  <c r="F34" i="11"/>
  <c r="G14" i="11"/>
  <c r="G23" i="11"/>
  <c r="G20" i="11"/>
  <c r="G28" i="11"/>
  <c r="G34" i="11"/>
  <c r="H14" i="11"/>
  <c r="H23" i="11"/>
  <c r="H20" i="11"/>
  <c r="H28" i="11"/>
  <c r="H34" i="11"/>
  <c r="I14" i="11"/>
  <c r="I23" i="11"/>
  <c r="I20" i="11"/>
  <c r="I28" i="11"/>
  <c r="I34" i="11"/>
  <c r="J14" i="11"/>
  <c r="J23" i="11"/>
  <c r="J20" i="11"/>
  <c r="J28" i="11"/>
  <c r="J34" i="11"/>
  <c r="K14" i="11"/>
  <c r="K23" i="11"/>
  <c r="K20" i="11"/>
  <c r="K28" i="11"/>
  <c r="K34" i="11"/>
  <c r="L14" i="11"/>
  <c r="L23" i="11"/>
  <c r="L20" i="11"/>
  <c r="L28" i="11"/>
  <c r="L34" i="11"/>
  <c r="M14" i="11"/>
  <c r="M23" i="11"/>
  <c r="M20" i="11"/>
  <c r="M28" i="11"/>
  <c r="M34" i="11"/>
  <c r="N14" i="11"/>
  <c r="N23" i="11"/>
  <c r="N20" i="11"/>
  <c r="N28" i="11"/>
  <c r="N34" i="11"/>
  <c r="O14" i="11"/>
  <c r="O23" i="11"/>
  <c r="O20" i="11"/>
  <c r="O28" i="11"/>
  <c r="O34" i="11"/>
  <c r="P14" i="11"/>
  <c r="P23" i="11"/>
  <c r="P20" i="11"/>
  <c r="P28" i="11"/>
  <c r="P34" i="11"/>
  <c r="Q14" i="11"/>
  <c r="Q23" i="11"/>
  <c r="Q20" i="11"/>
  <c r="Q28" i="11"/>
  <c r="Q34" i="11"/>
  <c r="R14" i="11"/>
  <c r="R23" i="11"/>
  <c r="R20" i="11"/>
  <c r="R28" i="11"/>
  <c r="R34" i="11"/>
  <c r="S14" i="11"/>
  <c r="S23" i="11"/>
  <c r="S20" i="11"/>
  <c r="S28" i="11"/>
  <c r="S34" i="11"/>
  <c r="T14" i="11"/>
  <c r="T23" i="11"/>
  <c r="T20" i="11"/>
  <c r="T28" i="11"/>
  <c r="T34" i="11"/>
  <c r="U14" i="11"/>
  <c r="U23" i="11"/>
  <c r="U20" i="11"/>
  <c r="U28" i="11"/>
  <c r="U34" i="11"/>
  <c r="V14" i="11"/>
  <c r="V23" i="11"/>
  <c r="V20" i="11"/>
  <c r="V28" i="11"/>
  <c r="V34" i="11"/>
  <c r="W14" i="11"/>
  <c r="W23" i="11"/>
  <c r="W20" i="11"/>
  <c r="W28" i="11"/>
  <c r="W34" i="11"/>
  <c r="X14" i="11"/>
  <c r="X23" i="11"/>
  <c r="X20" i="11"/>
  <c r="X28" i="11"/>
  <c r="X34" i="11"/>
  <c r="Y14" i="11"/>
  <c r="Y23" i="11"/>
  <c r="Y20" i="11"/>
  <c r="Y28" i="11"/>
  <c r="Y34" i="11"/>
  <c r="Z14" i="11"/>
  <c r="Z23" i="11"/>
  <c r="Z20" i="11"/>
  <c r="Z28" i="11"/>
  <c r="Z34" i="11"/>
  <c r="AA14" i="11"/>
  <c r="AA23" i="11"/>
  <c r="AA20" i="11"/>
  <c r="AA28" i="11"/>
  <c r="AA34" i="11"/>
  <c r="AB14" i="11"/>
  <c r="AB23" i="11"/>
  <c r="AB20" i="11"/>
  <c r="AB28" i="11"/>
  <c r="AB34" i="11"/>
  <c r="AC14" i="11"/>
  <c r="AC23" i="11"/>
  <c r="AC20" i="11"/>
  <c r="AC28" i="11"/>
  <c r="AC34" i="11"/>
  <c r="AD14" i="11"/>
  <c r="AD23" i="11"/>
  <c r="AD20" i="11"/>
  <c r="AD28" i="11"/>
  <c r="AD34" i="11"/>
  <c r="AE14" i="11"/>
  <c r="AE23" i="11"/>
  <c r="AE20" i="11"/>
  <c r="AE28" i="11"/>
  <c r="AE34" i="11"/>
  <c r="AF14" i="11"/>
  <c r="AF23" i="11"/>
  <c r="AF20" i="11"/>
  <c r="AF28" i="11"/>
  <c r="AF34" i="11"/>
  <c r="AG14" i="11"/>
  <c r="AG23" i="11"/>
  <c r="AG20" i="11"/>
  <c r="AG28" i="11"/>
  <c r="AG34" i="11"/>
  <c r="AH14" i="11"/>
  <c r="AH23" i="11"/>
  <c r="AH20" i="11"/>
  <c r="AH28" i="11"/>
  <c r="AH34" i="11"/>
  <c r="AI14" i="11"/>
  <c r="AI23" i="11"/>
  <c r="AI20" i="11"/>
  <c r="AI28" i="11"/>
  <c r="AI34" i="11"/>
  <c r="AJ14" i="11"/>
  <c r="AJ23" i="11"/>
  <c r="AJ20" i="11"/>
  <c r="AJ28" i="11"/>
  <c r="AJ34" i="11"/>
  <c r="AK14" i="11"/>
  <c r="AK23" i="11"/>
  <c r="AK20" i="11"/>
  <c r="AK28" i="11"/>
  <c r="AK34" i="11"/>
  <c r="AL14" i="11"/>
  <c r="AL23" i="11"/>
  <c r="AL20" i="11"/>
  <c r="AL28" i="11"/>
  <c r="AL34" i="11"/>
  <c r="AM14" i="11"/>
  <c r="AM23" i="11"/>
  <c r="AM20" i="11"/>
  <c r="AM28" i="11"/>
  <c r="AM34" i="11"/>
  <c r="AN14" i="11"/>
  <c r="AN23" i="11"/>
  <c r="AN20" i="11"/>
  <c r="AN28" i="11"/>
  <c r="AN34" i="11"/>
  <c r="AO14" i="11"/>
  <c r="AO23" i="11"/>
  <c r="AO20" i="11"/>
  <c r="AO28" i="11"/>
  <c r="AO34" i="11"/>
  <c r="AP14" i="11"/>
  <c r="AP23" i="11"/>
  <c r="AP20" i="11"/>
  <c r="AP28" i="11"/>
  <c r="AP34" i="11"/>
  <c r="AQ14" i="11"/>
  <c r="AQ23" i="11"/>
  <c r="AQ20" i="11"/>
  <c r="AQ28" i="11"/>
  <c r="AQ34" i="11"/>
  <c r="AR14" i="11"/>
  <c r="AR23" i="11"/>
  <c r="AR20" i="11"/>
  <c r="AR28" i="11"/>
  <c r="AR34" i="11"/>
  <c r="AS14" i="11"/>
  <c r="AS23" i="11"/>
  <c r="AS20" i="11"/>
  <c r="AS28" i="11"/>
  <c r="AS34" i="11"/>
  <c r="AT14" i="11"/>
  <c r="AT23" i="11"/>
  <c r="AT20" i="11"/>
  <c r="AT28" i="11"/>
  <c r="AT34" i="11"/>
  <c r="AU14" i="11"/>
  <c r="AU23" i="11"/>
  <c r="AU20" i="11"/>
  <c r="AU28" i="11"/>
  <c r="AU34" i="11"/>
  <c r="AV14" i="11"/>
  <c r="AV23" i="11"/>
  <c r="AV20" i="11"/>
  <c r="AV28" i="11"/>
  <c r="AV34" i="11"/>
  <c r="AW14" i="11"/>
  <c r="AW23" i="11"/>
  <c r="AW20" i="11"/>
  <c r="AW28" i="11"/>
  <c r="AW34" i="11"/>
  <c r="AX14" i="11"/>
  <c r="AX23" i="11"/>
  <c r="AX20" i="11"/>
  <c r="AX28" i="11"/>
  <c r="AX34" i="11"/>
  <c r="AY10" i="11"/>
  <c r="AY14" i="11"/>
  <c r="AY23" i="11"/>
  <c r="AY16" i="11"/>
  <c r="AY20" i="11"/>
  <c r="AY28" i="11"/>
  <c r="AY34" i="11"/>
  <c r="C24" i="11"/>
  <c r="C29" i="11"/>
  <c r="C35" i="11"/>
  <c r="D24" i="11"/>
  <c r="D29" i="11"/>
  <c r="D35" i="11"/>
  <c r="E29" i="11"/>
  <c r="E35" i="11"/>
  <c r="F24" i="11"/>
  <c r="F29" i="11"/>
  <c r="F35" i="11"/>
  <c r="G24" i="11"/>
  <c r="G29" i="11"/>
  <c r="G35" i="11"/>
  <c r="H24" i="11"/>
  <c r="H29" i="11"/>
  <c r="H35" i="11"/>
  <c r="I24" i="11"/>
  <c r="I29" i="11"/>
  <c r="I35" i="11"/>
  <c r="J24" i="11"/>
  <c r="J29" i="11"/>
  <c r="J35" i="11"/>
  <c r="K24" i="11"/>
  <c r="K29" i="11"/>
  <c r="K35" i="11"/>
  <c r="L24" i="11"/>
  <c r="L29" i="11"/>
  <c r="L35" i="11"/>
  <c r="M24" i="11"/>
  <c r="M29" i="11"/>
  <c r="M35" i="11"/>
  <c r="N24" i="11"/>
  <c r="N29" i="11"/>
  <c r="N35" i="11"/>
  <c r="O24" i="11"/>
  <c r="O29" i="11"/>
  <c r="O35" i="11"/>
  <c r="P24" i="11"/>
  <c r="P29" i="11"/>
  <c r="P35" i="11"/>
  <c r="Q24" i="11"/>
  <c r="Q29" i="11"/>
  <c r="Q35" i="11"/>
  <c r="R24" i="11"/>
  <c r="R29" i="11"/>
  <c r="R35" i="11"/>
  <c r="S24" i="11"/>
  <c r="S29" i="11"/>
  <c r="S35" i="11"/>
  <c r="T24" i="11"/>
  <c r="T29" i="11"/>
  <c r="T35" i="11"/>
  <c r="U24" i="11"/>
  <c r="U29" i="11"/>
  <c r="U35" i="11"/>
  <c r="V24" i="11"/>
  <c r="V29" i="11"/>
  <c r="V35" i="11"/>
  <c r="W24" i="11"/>
  <c r="W29" i="11"/>
  <c r="W35" i="11"/>
  <c r="X24" i="11"/>
  <c r="X29" i="11"/>
  <c r="X35" i="11"/>
  <c r="Y24" i="11"/>
  <c r="Y29" i="11"/>
  <c r="Y35" i="11"/>
  <c r="Z24" i="11"/>
  <c r="Z29" i="11"/>
  <c r="Z35" i="11"/>
  <c r="AA24" i="11"/>
  <c r="AA29" i="11"/>
  <c r="AA35" i="11"/>
  <c r="AB24" i="11"/>
  <c r="AB29" i="11"/>
  <c r="AB35" i="11"/>
  <c r="AC24" i="11"/>
  <c r="AC29" i="11"/>
  <c r="AC35" i="11"/>
  <c r="AD24" i="11"/>
  <c r="AD29" i="11"/>
  <c r="AD35" i="11"/>
  <c r="AE24" i="11"/>
  <c r="AE29" i="11"/>
  <c r="AE35" i="11"/>
  <c r="AF24" i="11"/>
  <c r="AF29" i="11"/>
  <c r="AF35" i="11"/>
  <c r="AG24" i="11"/>
  <c r="AG29" i="11"/>
  <c r="AG35" i="11"/>
  <c r="AH24" i="11"/>
  <c r="AH29" i="11"/>
  <c r="AH35" i="11"/>
  <c r="AI24" i="11"/>
  <c r="AI29" i="11"/>
  <c r="AI35" i="11"/>
  <c r="AJ24" i="11"/>
  <c r="AJ29" i="11"/>
  <c r="AJ35" i="11"/>
  <c r="AK24" i="11"/>
  <c r="AK29" i="11"/>
  <c r="AK35" i="11"/>
  <c r="AL24" i="11"/>
  <c r="AL29" i="11"/>
  <c r="AL35" i="11"/>
  <c r="AM24" i="11"/>
  <c r="AM29" i="11"/>
  <c r="AM35" i="11"/>
  <c r="AN24" i="11"/>
  <c r="AN29" i="11"/>
  <c r="AN35" i="11"/>
  <c r="AO24" i="11"/>
  <c r="AO29" i="11"/>
  <c r="AO35" i="11"/>
  <c r="AP24" i="11"/>
  <c r="AP29" i="11"/>
  <c r="AP35" i="11"/>
  <c r="AQ24" i="11"/>
  <c r="AQ29" i="11"/>
  <c r="AQ35" i="11"/>
  <c r="AR24" i="11"/>
  <c r="AR29" i="11"/>
  <c r="AR35" i="11"/>
  <c r="AS24" i="11"/>
  <c r="AS29" i="11"/>
  <c r="AS35" i="11"/>
  <c r="AT24" i="11"/>
  <c r="AT29" i="11"/>
  <c r="AT35" i="11"/>
  <c r="AU24" i="11"/>
  <c r="AU29" i="11"/>
  <c r="AU35" i="11"/>
  <c r="AV24" i="11"/>
  <c r="AV29" i="11"/>
  <c r="AV35" i="11"/>
  <c r="AW24" i="11"/>
  <c r="AW29" i="11"/>
  <c r="AW35" i="11"/>
  <c r="AX24" i="11"/>
  <c r="AX29" i="11"/>
  <c r="AX35" i="11"/>
  <c r="AY24" i="11"/>
  <c r="AY29" i="11"/>
  <c r="AY35" i="11"/>
  <c r="C25" i="11"/>
  <c r="C30" i="11"/>
  <c r="C36" i="11"/>
  <c r="D25" i="11"/>
  <c r="D30" i="11"/>
  <c r="D36" i="11"/>
  <c r="E25" i="11"/>
  <c r="E30" i="11"/>
  <c r="E36" i="11"/>
  <c r="F25" i="11"/>
  <c r="F30" i="11"/>
  <c r="F36" i="11"/>
  <c r="G25" i="11"/>
  <c r="G30" i="11"/>
  <c r="G36" i="11"/>
  <c r="H25" i="11"/>
  <c r="H30" i="11"/>
  <c r="H36" i="11"/>
  <c r="I25" i="11"/>
  <c r="I30" i="11"/>
  <c r="I36" i="11"/>
  <c r="J25" i="11"/>
  <c r="J30" i="11"/>
  <c r="J36" i="11"/>
  <c r="K25" i="11"/>
  <c r="K30" i="11"/>
  <c r="K36" i="11"/>
  <c r="L25" i="11"/>
  <c r="L30" i="11"/>
  <c r="L36" i="11"/>
  <c r="M25" i="11"/>
  <c r="M30" i="11"/>
  <c r="M36" i="11"/>
  <c r="N25" i="11"/>
  <c r="N30" i="11"/>
  <c r="N36" i="11"/>
  <c r="O25" i="11"/>
  <c r="O30" i="11"/>
  <c r="O36" i="11"/>
  <c r="P25" i="11"/>
  <c r="P30" i="11"/>
  <c r="P36" i="11"/>
  <c r="Q25" i="11"/>
  <c r="Q30" i="11"/>
  <c r="Q36" i="11"/>
  <c r="R25" i="11"/>
  <c r="R30" i="11"/>
  <c r="R36" i="11"/>
  <c r="S25" i="11"/>
  <c r="S30" i="11"/>
  <c r="S36" i="11"/>
  <c r="T25" i="11"/>
  <c r="T30" i="11"/>
  <c r="T36" i="11"/>
  <c r="U25" i="11"/>
  <c r="U30" i="11"/>
  <c r="U36" i="11"/>
  <c r="V25" i="11"/>
  <c r="V30" i="11"/>
  <c r="V36" i="11"/>
  <c r="W25" i="11"/>
  <c r="W30" i="11"/>
  <c r="W36" i="11"/>
  <c r="X25" i="11"/>
  <c r="X30" i="11"/>
  <c r="X36" i="11"/>
  <c r="Y25" i="11"/>
  <c r="Y30" i="11"/>
  <c r="Y36" i="11"/>
  <c r="Z25" i="11"/>
  <c r="Z30" i="11"/>
  <c r="Z36" i="11"/>
  <c r="AA25" i="11"/>
  <c r="AA30" i="11"/>
  <c r="AA36" i="11"/>
  <c r="AB25" i="11"/>
  <c r="AB30" i="11"/>
  <c r="AB36" i="11"/>
  <c r="AC25" i="11"/>
  <c r="AC30" i="11"/>
  <c r="AC36" i="11"/>
  <c r="AD25" i="11"/>
  <c r="AD30" i="11"/>
  <c r="AD36" i="11"/>
  <c r="AE25" i="11"/>
  <c r="AE30" i="11"/>
  <c r="AE36" i="11"/>
  <c r="AF25" i="11"/>
  <c r="AF30" i="11"/>
  <c r="AF36" i="11"/>
  <c r="AG25" i="11"/>
  <c r="AG30" i="11"/>
  <c r="AG36" i="11"/>
  <c r="AH25" i="11"/>
  <c r="AH30" i="11"/>
  <c r="AH36" i="11"/>
  <c r="AI25" i="11"/>
  <c r="AI30" i="11"/>
  <c r="AI36" i="11"/>
  <c r="AJ25" i="11"/>
  <c r="AJ30" i="11"/>
  <c r="AJ36" i="11"/>
  <c r="AK25" i="11"/>
  <c r="AK30" i="11"/>
  <c r="AK36" i="11"/>
  <c r="AL25" i="11"/>
  <c r="AL30" i="11"/>
  <c r="AL36" i="11"/>
  <c r="AM25" i="11"/>
  <c r="AM30" i="11"/>
  <c r="AM36" i="11"/>
  <c r="AN25" i="11"/>
  <c r="AN30" i="11"/>
  <c r="AN36" i="11"/>
  <c r="AO25" i="11"/>
  <c r="AO30" i="11"/>
  <c r="AO36" i="11"/>
  <c r="AP25" i="11"/>
  <c r="AP30" i="11"/>
  <c r="AP36" i="11"/>
  <c r="AQ25" i="11"/>
  <c r="AQ30" i="11"/>
  <c r="AQ36" i="11"/>
  <c r="AR25" i="11"/>
  <c r="AR30" i="11"/>
  <c r="AR36" i="11"/>
  <c r="AS25" i="11"/>
  <c r="AS30" i="11"/>
  <c r="AS36" i="11"/>
  <c r="AT25" i="11"/>
  <c r="AT30" i="11"/>
  <c r="AT36" i="11"/>
  <c r="AU25" i="11"/>
  <c r="AU30" i="11"/>
  <c r="AU36" i="11"/>
  <c r="AV25" i="11"/>
  <c r="AV30" i="11"/>
  <c r="AV36" i="11"/>
  <c r="AW25" i="11"/>
  <c r="AW30" i="11"/>
  <c r="AW36" i="11"/>
  <c r="AX25" i="11"/>
  <c r="AX30" i="11"/>
  <c r="AX36" i="11"/>
  <c r="AY25" i="11"/>
  <c r="AY30" i="11"/>
  <c r="AY36" i="11"/>
  <c r="C26" i="11"/>
  <c r="C31" i="11"/>
  <c r="C37" i="11"/>
  <c r="D26" i="11"/>
  <c r="D31" i="11"/>
  <c r="D37" i="11"/>
  <c r="E26" i="11"/>
  <c r="E31" i="11"/>
  <c r="E37" i="11"/>
  <c r="F26" i="11"/>
  <c r="F31" i="11"/>
  <c r="F37" i="11"/>
  <c r="G26" i="11"/>
  <c r="G31" i="11"/>
  <c r="G37" i="11"/>
  <c r="H26" i="11"/>
  <c r="H31" i="11"/>
  <c r="H37" i="11"/>
  <c r="I26" i="11"/>
  <c r="I31" i="11"/>
  <c r="I37" i="11"/>
  <c r="J26" i="11"/>
  <c r="J31" i="11"/>
  <c r="J37" i="11"/>
  <c r="K26" i="11"/>
  <c r="K31" i="11"/>
  <c r="K37" i="11"/>
  <c r="L26" i="11"/>
  <c r="L31" i="11"/>
  <c r="L37" i="11"/>
  <c r="M26" i="11"/>
  <c r="M31" i="11"/>
  <c r="M37" i="11"/>
  <c r="N26" i="11"/>
  <c r="N31" i="11"/>
  <c r="N37" i="11"/>
  <c r="O26" i="11"/>
  <c r="O31" i="11"/>
  <c r="O37" i="11"/>
  <c r="P26" i="11"/>
  <c r="P31" i="11"/>
  <c r="P37" i="11"/>
  <c r="Q26" i="11"/>
  <c r="Q31" i="11"/>
  <c r="Q37" i="11"/>
  <c r="R26" i="11"/>
  <c r="R31" i="11"/>
  <c r="R37" i="11"/>
  <c r="S26" i="11"/>
  <c r="S31" i="11"/>
  <c r="S37" i="11"/>
  <c r="T26" i="11"/>
  <c r="T31" i="11"/>
  <c r="T37" i="11"/>
  <c r="U26" i="11"/>
  <c r="U31" i="11"/>
  <c r="U37" i="11"/>
  <c r="V26" i="11"/>
  <c r="V31" i="11"/>
  <c r="V37" i="11"/>
  <c r="W26" i="11"/>
  <c r="W31" i="11"/>
  <c r="W37" i="11"/>
  <c r="X26" i="11"/>
  <c r="X31" i="11"/>
  <c r="X37" i="11"/>
  <c r="Y26" i="11"/>
  <c r="Y31" i="11"/>
  <c r="Y37" i="11"/>
  <c r="Z26" i="11"/>
  <c r="Z31" i="11"/>
  <c r="Z37" i="11"/>
  <c r="AA26" i="11"/>
  <c r="AA31" i="11"/>
  <c r="AA37" i="11"/>
  <c r="AB26" i="11"/>
  <c r="AB31" i="11"/>
  <c r="AB37" i="11"/>
  <c r="AC26" i="11"/>
  <c r="AC31" i="11"/>
  <c r="AC37" i="11"/>
  <c r="AD26" i="11"/>
  <c r="AD31" i="11"/>
  <c r="AD37" i="11"/>
  <c r="AE26" i="11"/>
  <c r="AE31" i="11"/>
  <c r="AE37" i="11"/>
  <c r="AF26" i="11"/>
  <c r="AF31" i="11"/>
  <c r="AF37" i="11"/>
  <c r="AG26" i="11"/>
  <c r="AG31" i="11"/>
  <c r="AG37" i="11"/>
  <c r="AH26" i="11"/>
  <c r="AH31" i="11"/>
  <c r="AH37" i="11"/>
  <c r="AI26" i="11"/>
  <c r="AI31" i="11"/>
  <c r="AI37" i="11"/>
  <c r="AJ26" i="11"/>
  <c r="AJ31" i="11"/>
  <c r="AJ37" i="11"/>
  <c r="AK26" i="11"/>
  <c r="AK31" i="11"/>
  <c r="AK37" i="11"/>
  <c r="AL26" i="11"/>
  <c r="AL31" i="11"/>
  <c r="AL37" i="11"/>
  <c r="AM26" i="11"/>
  <c r="AM31" i="11"/>
  <c r="AM37" i="11"/>
  <c r="AN26" i="11"/>
  <c r="AN31" i="11"/>
  <c r="AN37" i="11"/>
  <c r="AO26" i="11"/>
  <c r="AO31" i="11"/>
  <c r="AO37" i="11"/>
  <c r="AP26" i="11"/>
  <c r="AP31" i="11"/>
  <c r="AP37" i="11"/>
  <c r="AQ26" i="11"/>
  <c r="AQ31" i="11"/>
  <c r="AQ37" i="11"/>
  <c r="AR26" i="11"/>
  <c r="AR31" i="11"/>
  <c r="AR37" i="11"/>
  <c r="AS26" i="11"/>
  <c r="AS31" i="11"/>
  <c r="AS37" i="11"/>
  <c r="AT26" i="11"/>
  <c r="AT31" i="11"/>
  <c r="AT37" i="11"/>
  <c r="AU26" i="11"/>
  <c r="AU31" i="11"/>
  <c r="AU37" i="11"/>
  <c r="AV26" i="11"/>
  <c r="AV31" i="11"/>
  <c r="AV37" i="11"/>
  <c r="AW26" i="11"/>
  <c r="AW31" i="11"/>
  <c r="AW37" i="11"/>
  <c r="AX26" i="11"/>
  <c r="AX31" i="11"/>
  <c r="AX37" i="11"/>
  <c r="AY26" i="11"/>
  <c r="AY31" i="11"/>
  <c r="AY37" i="11"/>
  <c r="B14" i="11"/>
  <c r="B24" i="11"/>
  <c r="B20" i="11"/>
  <c r="B29" i="11"/>
  <c r="B35" i="11"/>
  <c r="B25" i="11"/>
  <c r="B30" i="11"/>
  <c r="B36" i="11"/>
  <c r="B26" i="11"/>
  <c r="B31" i="11"/>
  <c r="B37" i="11"/>
  <c r="B23" i="11"/>
  <c r="B28" i="11"/>
  <c r="B34" i="11"/>
  <c r="A29" i="11"/>
  <c r="A30" i="11"/>
  <c r="A31" i="11"/>
  <c r="A17" i="11"/>
  <c r="A18" i="11"/>
  <c r="A19" i="11"/>
  <c r="A35" i="11"/>
  <c r="A36" i="11"/>
  <c r="A37" i="11"/>
  <c r="A24" i="11"/>
  <c r="A25" i="11"/>
  <c r="A26" i="11"/>
  <c r="A11" i="11"/>
  <c r="A12" i="11"/>
  <c r="A13" i="11"/>
  <c r="C1" i="11"/>
  <c r="D1" i="11"/>
  <c r="E1" i="11"/>
  <c r="F1" i="11"/>
  <c r="G1" i="11"/>
  <c r="H1" i="11"/>
  <c r="I1" i="11"/>
  <c r="J1" i="11"/>
  <c r="K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Z1" i="11"/>
  <c r="AA1" i="11"/>
  <c r="AB1" i="11"/>
  <c r="AC1" i="11"/>
  <c r="AD1" i="11"/>
  <c r="AE1" i="11"/>
  <c r="AF1" i="11"/>
  <c r="AG1" i="11"/>
  <c r="AH1" i="11"/>
  <c r="AI1" i="11"/>
  <c r="AJ1" i="11"/>
  <c r="AK1" i="11"/>
  <c r="AL1" i="11"/>
  <c r="AM1" i="11"/>
  <c r="AN1" i="11"/>
  <c r="AO1" i="11"/>
  <c r="AP1" i="11"/>
  <c r="AQ1" i="11"/>
  <c r="AR1" i="11"/>
  <c r="AS1" i="11"/>
  <c r="AT1" i="11"/>
  <c r="AU1" i="11"/>
  <c r="AV1" i="11"/>
  <c r="AW1" i="11"/>
  <c r="AX1" i="11"/>
  <c r="AY1" i="11"/>
  <c r="D4" i="3"/>
  <c r="D5" i="3"/>
  <c r="D6" i="3"/>
  <c r="D3" i="3"/>
  <c r="E4" i="3"/>
  <c r="E5" i="3"/>
  <c r="E6" i="3"/>
  <c r="E3" i="3"/>
  <c r="F4" i="3"/>
  <c r="F5" i="3"/>
  <c r="F6" i="3"/>
  <c r="F3" i="3"/>
  <c r="G4" i="3"/>
  <c r="G5" i="3"/>
  <c r="G6" i="3"/>
  <c r="G3" i="3"/>
  <c r="H4" i="3"/>
  <c r="H5" i="3"/>
  <c r="H6" i="3"/>
  <c r="H3" i="3"/>
  <c r="I4" i="3"/>
  <c r="I5" i="3"/>
  <c r="I6" i="3"/>
  <c r="I3" i="3"/>
  <c r="J4" i="3"/>
  <c r="J5" i="3"/>
  <c r="J6" i="3"/>
  <c r="J3" i="3"/>
  <c r="K4" i="3"/>
  <c r="K5" i="3"/>
  <c r="K6" i="3"/>
  <c r="K3" i="3"/>
  <c r="L4" i="3"/>
  <c r="L5" i="3"/>
  <c r="L6" i="3"/>
  <c r="L3" i="3"/>
  <c r="M4" i="3"/>
  <c r="M5" i="3"/>
  <c r="M6" i="3"/>
  <c r="M3" i="3"/>
  <c r="N4" i="3"/>
  <c r="N5" i="3"/>
  <c r="N6" i="3"/>
  <c r="N3" i="3"/>
  <c r="O4" i="3"/>
  <c r="O5" i="3"/>
  <c r="O6" i="3"/>
  <c r="O3" i="3"/>
  <c r="P4" i="3"/>
  <c r="P5" i="3"/>
  <c r="P6" i="3"/>
  <c r="P3" i="3"/>
  <c r="Q4" i="3"/>
  <c r="Q5" i="3"/>
  <c r="Q6" i="3"/>
  <c r="Q3" i="3"/>
  <c r="R4" i="3"/>
  <c r="R5" i="3"/>
  <c r="R6" i="3"/>
  <c r="R3" i="3"/>
  <c r="S4" i="3"/>
  <c r="S5" i="3"/>
  <c r="S6" i="3"/>
  <c r="S3" i="3"/>
  <c r="T4" i="3"/>
  <c r="T5" i="3"/>
  <c r="T6" i="3"/>
  <c r="T3" i="3"/>
  <c r="U4" i="3"/>
  <c r="U5" i="3"/>
  <c r="U6" i="3"/>
  <c r="U3" i="3"/>
  <c r="V4" i="3"/>
  <c r="V5" i="3"/>
  <c r="V6" i="3"/>
  <c r="V3" i="3"/>
  <c r="W4" i="3"/>
  <c r="W5" i="3"/>
  <c r="W6" i="3"/>
  <c r="W3" i="3"/>
  <c r="X4" i="3"/>
  <c r="X5" i="3"/>
  <c r="X6" i="3"/>
  <c r="X3" i="3"/>
  <c r="Y4" i="3"/>
  <c r="Y5" i="3"/>
  <c r="Y6" i="3"/>
  <c r="Y3" i="3"/>
  <c r="Z4" i="3"/>
  <c r="Z5" i="3"/>
  <c r="Z6" i="3"/>
  <c r="Z3" i="3"/>
  <c r="AA4" i="3"/>
  <c r="AA5" i="3"/>
  <c r="AA6" i="3"/>
  <c r="AA3" i="3"/>
  <c r="AB4" i="3"/>
  <c r="AB5" i="3"/>
  <c r="AB6" i="3"/>
  <c r="AB3" i="3"/>
  <c r="AC4" i="3"/>
  <c r="AC5" i="3"/>
  <c r="AC6" i="3"/>
  <c r="AC3" i="3"/>
  <c r="AD4" i="3"/>
  <c r="AD5" i="3"/>
  <c r="AD6" i="3"/>
  <c r="AD3" i="3"/>
  <c r="AE4" i="3"/>
  <c r="AE5" i="3"/>
  <c r="AE6" i="3"/>
  <c r="AE3" i="3"/>
  <c r="AF4" i="3"/>
  <c r="AF5" i="3"/>
  <c r="AF6" i="3"/>
  <c r="AF3" i="3"/>
  <c r="AG4" i="3"/>
  <c r="AG5" i="3"/>
  <c r="AG6" i="3"/>
  <c r="AG3" i="3"/>
  <c r="AH4" i="3"/>
  <c r="AH5" i="3"/>
  <c r="AH6" i="3"/>
  <c r="AH3" i="3"/>
  <c r="AI4" i="3"/>
  <c r="AI5" i="3"/>
  <c r="AI6" i="3"/>
  <c r="AI3" i="3"/>
  <c r="AJ4" i="3"/>
  <c r="AJ5" i="3"/>
  <c r="AJ6" i="3"/>
  <c r="AJ3" i="3"/>
  <c r="AK4" i="3"/>
  <c r="AK5" i="3"/>
  <c r="AK6" i="3"/>
  <c r="AK3" i="3"/>
  <c r="AL4" i="3"/>
  <c r="AL5" i="3"/>
  <c r="AL6" i="3"/>
  <c r="AL3" i="3"/>
  <c r="AM4" i="3"/>
  <c r="AM5" i="3"/>
  <c r="AM6" i="3"/>
  <c r="AM3" i="3"/>
  <c r="AN4" i="3"/>
  <c r="AN5" i="3"/>
  <c r="AN6" i="3"/>
  <c r="AN3" i="3"/>
  <c r="AO4" i="3"/>
  <c r="AO5" i="3"/>
  <c r="AO6" i="3"/>
  <c r="AO3" i="3"/>
  <c r="AP4" i="3"/>
  <c r="AP5" i="3"/>
  <c r="AP6" i="3"/>
  <c r="AP3" i="3"/>
  <c r="AQ4" i="3"/>
  <c r="AQ5" i="3"/>
  <c r="AQ6" i="3"/>
  <c r="AQ3" i="3"/>
  <c r="AR4" i="3"/>
  <c r="AR5" i="3"/>
  <c r="AR6" i="3"/>
  <c r="AR3" i="3"/>
  <c r="AS4" i="3"/>
  <c r="AS5" i="3"/>
  <c r="AS6" i="3"/>
  <c r="AS3" i="3"/>
  <c r="AT4" i="3"/>
  <c r="AT5" i="3"/>
  <c r="AT6" i="3"/>
  <c r="AT3" i="3"/>
  <c r="AU4" i="3"/>
  <c r="AU5" i="3"/>
  <c r="AU6" i="3"/>
  <c r="AU3" i="3"/>
  <c r="AV4" i="3"/>
  <c r="AV5" i="3"/>
  <c r="AV6" i="3"/>
  <c r="AV3" i="3"/>
  <c r="AW4" i="3"/>
  <c r="AW5" i="3"/>
  <c r="AW6" i="3"/>
  <c r="AW3" i="3"/>
  <c r="AX4" i="3"/>
  <c r="AX5" i="3"/>
  <c r="AX6" i="3"/>
  <c r="AX3" i="3"/>
  <c r="AY4" i="3"/>
  <c r="AY5" i="3"/>
  <c r="AY6" i="3"/>
  <c r="AY3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B8" i="3"/>
  <c r="A25" i="3"/>
  <c r="A26" i="3"/>
  <c r="A27" i="3"/>
  <c r="A19" i="3"/>
  <c r="A20" i="3"/>
  <c r="A21" i="3"/>
  <c r="A4" i="3"/>
  <c r="A5" i="3"/>
  <c r="A6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G1" i="3"/>
  <c r="AH1" i="3"/>
  <c r="AI1" i="3"/>
  <c r="AJ1" i="3"/>
  <c r="AK1" i="3"/>
  <c r="AL1" i="3"/>
  <c r="AM1" i="3"/>
  <c r="AN1" i="3"/>
  <c r="AO1" i="3"/>
  <c r="AP1" i="3"/>
  <c r="AQ1" i="3"/>
  <c r="AR1" i="3"/>
  <c r="AS1" i="3"/>
  <c r="AT1" i="3"/>
  <c r="AU1" i="3"/>
  <c r="AV1" i="3"/>
  <c r="AW1" i="3"/>
  <c r="AX1" i="3"/>
  <c r="AY1" i="3"/>
  <c r="D24" i="3"/>
  <c r="C12" i="3"/>
  <c r="B12" i="3"/>
  <c r="C18" i="3"/>
  <c r="A13" i="3"/>
  <c r="A14" i="3"/>
  <c r="A15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C25" i="3"/>
  <c r="C26" i="3"/>
  <c r="C27" i="3"/>
  <c r="D12" i="3"/>
  <c r="D18" i="3"/>
  <c r="E12" i="3"/>
  <c r="E18" i="3"/>
  <c r="F12" i="3"/>
  <c r="F18" i="3"/>
  <c r="G12" i="3"/>
  <c r="G18" i="3"/>
  <c r="H12" i="3"/>
  <c r="H18" i="3"/>
  <c r="I12" i="3"/>
  <c r="I18" i="3"/>
  <c r="J12" i="3"/>
  <c r="J18" i="3"/>
  <c r="K12" i="3"/>
  <c r="K18" i="3"/>
  <c r="L12" i="3"/>
  <c r="L18" i="3"/>
  <c r="M12" i="3"/>
  <c r="M18" i="3"/>
  <c r="N12" i="3"/>
  <c r="N18" i="3"/>
  <c r="O12" i="3"/>
  <c r="O18" i="3"/>
  <c r="P12" i="3"/>
  <c r="P18" i="3"/>
  <c r="Q12" i="3"/>
  <c r="Q18" i="3"/>
  <c r="R12" i="3"/>
  <c r="R18" i="3"/>
  <c r="S12" i="3"/>
  <c r="S18" i="3"/>
  <c r="T12" i="3"/>
  <c r="T18" i="3"/>
  <c r="U12" i="3"/>
  <c r="U18" i="3"/>
  <c r="V12" i="3"/>
  <c r="V18" i="3"/>
  <c r="W12" i="3"/>
  <c r="W18" i="3"/>
  <c r="X12" i="3"/>
  <c r="X18" i="3"/>
  <c r="Y12" i="3"/>
  <c r="Y18" i="3"/>
  <c r="Z12" i="3"/>
  <c r="Z18" i="3"/>
  <c r="AA12" i="3"/>
  <c r="AA18" i="3"/>
  <c r="AB12" i="3"/>
  <c r="AB18" i="3"/>
  <c r="AC12" i="3"/>
  <c r="AC18" i="3"/>
  <c r="AD12" i="3"/>
  <c r="AD18" i="3"/>
  <c r="AE12" i="3"/>
  <c r="AE18" i="3"/>
  <c r="AF12" i="3"/>
  <c r="AF18" i="3"/>
  <c r="AG12" i="3"/>
  <c r="AG18" i="3"/>
  <c r="AH12" i="3"/>
  <c r="AH18" i="3"/>
  <c r="AI12" i="3"/>
  <c r="AI18" i="3"/>
  <c r="AJ12" i="3"/>
  <c r="AJ18" i="3"/>
  <c r="AK12" i="3"/>
  <c r="AK18" i="3"/>
  <c r="AL12" i="3"/>
  <c r="AL18" i="3"/>
  <c r="AM12" i="3"/>
  <c r="AM18" i="3"/>
  <c r="AN12" i="3"/>
  <c r="AN18" i="3"/>
  <c r="AO12" i="3"/>
  <c r="AO18" i="3"/>
  <c r="AP12" i="3"/>
  <c r="AP18" i="3"/>
  <c r="AQ12" i="3"/>
  <c r="AQ18" i="3"/>
  <c r="AR12" i="3"/>
  <c r="AR18" i="3"/>
  <c r="AS12" i="3"/>
  <c r="AS18" i="3"/>
  <c r="AT12" i="3"/>
  <c r="AT18" i="3"/>
  <c r="AU12" i="3"/>
  <c r="AU18" i="3"/>
  <c r="AV12" i="3"/>
  <c r="AV18" i="3"/>
  <c r="AW12" i="3"/>
  <c r="AW18" i="3"/>
  <c r="AX12" i="3"/>
  <c r="AX18" i="3"/>
  <c r="AY12" i="3"/>
  <c r="AY18" i="3"/>
  <c r="D13" i="3"/>
  <c r="C13" i="3"/>
  <c r="D19" i="3"/>
  <c r="E13" i="3"/>
  <c r="E19" i="3"/>
  <c r="F13" i="3"/>
  <c r="F19" i="3"/>
  <c r="G13" i="3"/>
  <c r="G19" i="3"/>
  <c r="H13" i="3"/>
  <c r="H19" i="3"/>
  <c r="I13" i="3"/>
  <c r="I19" i="3"/>
  <c r="J13" i="3"/>
  <c r="J19" i="3"/>
  <c r="K13" i="3"/>
  <c r="K19" i="3"/>
  <c r="L13" i="3"/>
  <c r="L19" i="3"/>
  <c r="M13" i="3"/>
  <c r="M19" i="3"/>
  <c r="N13" i="3"/>
  <c r="N19" i="3"/>
  <c r="O13" i="3"/>
  <c r="O19" i="3"/>
  <c r="P13" i="3"/>
  <c r="P19" i="3"/>
  <c r="Q13" i="3"/>
  <c r="Q19" i="3"/>
  <c r="R13" i="3"/>
  <c r="R19" i="3"/>
  <c r="S13" i="3"/>
  <c r="S19" i="3"/>
  <c r="T13" i="3"/>
  <c r="T19" i="3"/>
  <c r="U13" i="3"/>
  <c r="U19" i="3"/>
  <c r="V13" i="3"/>
  <c r="V19" i="3"/>
  <c r="W13" i="3"/>
  <c r="W19" i="3"/>
  <c r="X13" i="3"/>
  <c r="X19" i="3"/>
  <c r="Y13" i="3"/>
  <c r="Y19" i="3"/>
  <c r="Z13" i="3"/>
  <c r="Z19" i="3"/>
  <c r="AA13" i="3"/>
  <c r="AA19" i="3"/>
  <c r="AB13" i="3"/>
  <c r="AB19" i="3"/>
  <c r="AC13" i="3"/>
  <c r="AC19" i="3"/>
  <c r="AD13" i="3"/>
  <c r="AD19" i="3"/>
  <c r="AE13" i="3"/>
  <c r="AE19" i="3"/>
  <c r="AF13" i="3"/>
  <c r="AF19" i="3"/>
  <c r="AG13" i="3"/>
  <c r="AG19" i="3"/>
  <c r="AH13" i="3"/>
  <c r="AH19" i="3"/>
  <c r="AI13" i="3"/>
  <c r="AI19" i="3"/>
  <c r="AJ13" i="3"/>
  <c r="AJ19" i="3"/>
  <c r="AK13" i="3"/>
  <c r="AK19" i="3"/>
  <c r="AL13" i="3"/>
  <c r="AL19" i="3"/>
  <c r="AM13" i="3"/>
  <c r="AM19" i="3"/>
  <c r="AN13" i="3"/>
  <c r="AN19" i="3"/>
  <c r="AO13" i="3"/>
  <c r="AO19" i="3"/>
  <c r="AP13" i="3"/>
  <c r="AP19" i="3"/>
  <c r="AQ13" i="3"/>
  <c r="AQ19" i="3"/>
  <c r="AR13" i="3"/>
  <c r="AR19" i="3"/>
  <c r="AS13" i="3"/>
  <c r="AS19" i="3"/>
  <c r="AT13" i="3"/>
  <c r="AT19" i="3"/>
  <c r="AU13" i="3"/>
  <c r="AU19" i="3"/>
  <c r="AV13" i="3"/>
  <c r="AV19" i="3"/>
  <c r="AW13" i="3"/>
  <c r="AW19" i="3"/>
  <c r="AX13" i="3"/>
  <c r="AX19" i="3"/>
  <c r="AY13" i="3"/>
  <c r="AY19" i="3"/>
  <c r="D14" i="3"/>
  <c r="C14" i="3"/>
  <c r="D20" i="3"/>
  <c r="E14" i="3"/>
  <c r="E20" i="3"/>
  <c r="F14" i="3"/>
  <c r="F20" i="3"/>
  <c r="G14" i="3"/>
  <c r="G20" i="3"/>
  <c r="H14" i="3"/>
  <c r="H20" i="3"/>
  <c r="I14" i="3"/>
  <c r="I20" i="3"/>
  <c r="J14" i="3"/>
  <c r="J20" i="3"/>
  <c r="K14" i="3"/>
  <c r="K20" i="3"/>
  <c r="L14" i="3"/>
  <c r="L20" i="3"/>
  <c r="M14" i="3"/>
  <c r="M20" i="3"/>
  <c r="N14" i="3"/>
  <c r="N20" i="3"/>
  <c r="O14" i="3"/>
  <c r="O20" i="3"/>
  <c r="P14" i="3"/>
  <c r="P20" i="3"/>
  <c r="Q14" i="3"/>
  <c r="Q20" i="3"/>
  <c r="R14" i="3"/>
  <c r="R20" i="3"/>
  <c r="S14" i="3"/>
  <c r="S20" i="3"/>
  <c r="T14" i="3"/>
  <c r="T20" i="3"/>
  <c r="U14" i="3"/>
  <c r="U20" i="3"/>
  <c r="V14" i="3"/>
  <c r="V20" i="3"/>
  <c r="W14" i="3"/>
  <c r="W20" i="3"/>
  <c r="X14" i="3"/>
  <c r="X20" i="3"/>
  <c r="Y14" i="3"/>
  <c r="Y20" i="3"/>
  <c r="Z14" i="3"/>
  <c r="Z20" i="3"/>
  <c r="AA14" i="3"/>
  <c r="AA20" i="3"/>
  <c r="AB14" i="3"/>
  <c r="AB20" i="3"/>
  <c r="AC14" i="3"/>
  <c r="AC20" i="3"/>
  <c r="AD14" i="3"/>
  <c r="AD20" i="3"/>
  <c r="AE14" i="3"/>
  <c r="AE20" i="3"/>
  <c r="AF14" i="3"/>
  <c r="AF20" i="3"/>
  <c r="AG14" i="3"/>
  <c r="AG20" i="3"/>
  <c r="AH14" i="3"/>
  <c r="AH20" i="3"/>
  <c r="AI14" i="3"/>
  <c r="AI20" i="3"/>
  <c r="AJ14" i="3"/>
  <c r="AJ20" i="3"/>
  <c r="AK14" i="3"/>
  <c r="AK20" i="3"/>
  <c r="AL14" i="3"/>
  <c r="AL20" i="3"/>
  <c r="AM14" i="3"/>
  <c r="AM20" i="3"/>
  <c r="AN14" i="3"/>
  <c r="AN20" i="3"/>
  <c r="AO14" i="3"/>
  <c r="AO20" i="3"/>
  <c r="AP14" i="3"/>
  <c r="AP20" i="3"/>
  <c r="AQ14" i="3"/>
  <c r="AQ20" i="3"/>
  <c r="AR14" i="3"/>
  <c r="AR20" i="3"/>
  <c r="AS14" i="3"/>
  <c r="AS20" i="3"/>
  <c r="AT14" i="3"/>
  <c r="AT20" i="3"/>
  <c r="AU14" i="3"/>
  <c r="AU20" i="3"/>
  <c r="AV14" i="3"/>
  <c r="AV20" i="3"/>
  <c r="AW14" i="3"/>
  <c r="AW20" i="3"/>
  <c r="AX14" i="3"/>
  <c r="AX20" i="3"/>
  <c r="AY14" i="3"/>
  <c r="AY20" i="3"/>
  <c r="D15" i="3"/>
  <c r="C15" i="3"/>
  <c r="D21" i="3"/>
  <c r="E15" i="3"/>
  <c r="E21" i="3"/>
  <c r="F15" i="3"/>
  <c r="F21" i="3"/>
  <c r="G15" i="3"/>
  <c r="G21" i="3"/>
  <c r="H15" i="3"/>
  <c r="H21" i="3"/>
  <c r="I15" i="3"/>
  <c r="I21" i="3"/>
  <c r="J15" i="3"/>
  <c r="J21" i="3"/>
  <c r="K15" i="3"/>
  <c r="K21" i="3"/>
  <c r="L15" i="3"/>
  <c r="L21" i="3"/>
  <c r="M15" i="3"/>
  <c r="M21" i="3"/>
  <c r="N15" i="3"/>
  <c r="N21" i="3"/>
  <c r="O15" i="3"/>
  <c r="O21" i="3"/>
  <c r="P15" i="3"/>
  <c r="P21" i="3"/>
  <c r="Q15" i="3"/>
  <c r="Q21" i="3"/>
  <c r="R15" i="3"/>
  <c r="R21" i="3"/>
  <c r="S15" i="3"/>
  <c r="S21" i="3"/>
  <c r="T15" i="3"/>
  <c r="T21" i="3"/>
  <c r="U15" i="3"/>
  <c r="U21" i="3"/>
  <c r="V15" i="3"/>
  <c r="V21" i="3"/>
  <c r="W15" i="3"/>
  <c r="W21" i="3"/>
  <c r="X15" i="3"/>
  <c r="X21" i="3"/>
  <c r="Y15" i="3"/>
  <c r="Y21" i="3"/>
  <c r="Z15" i="3"/>
  <c r="Z21" i="3"/>
  <c r="AA15" i="3"/>
  <c r="AA21" i="3"/>
  <c r="AB15" i="3"/>
  <c r="AB21" i="3"/>
  <c r="AC15" i="3"/>
  <c r="AC21" i="3"/>
  <c r="AD15" i="3"/>
  <c r="AD21" i="3"/>
  <c r="AE15" i="3"/>
  <c r="AE21" i="3"/>
  <c r="AF15" i="3"/>
  <c r="AF21" i="3"/>
  <c r="AG15" i="3"/>
  <c r="AG21" i="3"/>
  <c r="AH15" i="3"/>
  <c r="AH21" i="3"/>
  <c r="AI15" i="3"/>
  <c r="AI21" i="3"/>
  <c r="AJ15" i="3"/>
  <c r="AJ21" i="3"/>
  <c r="AK15" i="3"/>
  <c r="AK21" i="3"/>
  <c r="AL15" i="3"/>
  <c r="AL21" i="3"/>
  <c r="AM15" i="3"/>
  <c r="AM21" i="3"/>
  <c r="AN15" i="3"/>
  <c r="AN21" i="3"/>
  <c r="AO15" i="3"/>
  <c r="AO21" i="3"/>
  <c r="AP15" i="3"/>
  <c r="AP21" i="3"/>
  <c r="AQ15" i="3"/>
  <c r="AQ21" i="3"/>
  <c r="AR15" i="3"/>
  <c r="AR21" i="3"/>
  <c r="AS15" i="3"/>
  <c r="AS21" i="3"/>
  <c r="AT15" i="3"/>
  <c r="AT21" i="3"/>
  <c r="AU15" i="3"/>
  <c r="AU21" i="3"/>
  <c r="AV15" i="3"/>
  <c r="AV21" i="3"/>
  <c r="AW15" i="3"/>
  <c r="AW21" i="3"/>
  <c r="AX15" i="3"/>
  <c r="AX21" i="3"/>
  <c r="AY15" i="3"/>
  <c r="AY21" i="3"/>
  <c r="B13" i="3"/>
  <c r="C19" i="3"/>
  <c r="B14" i="3"/>
  <c r="C20" i="3"/>
  <c r="B15" i="3"/>
  <c r="C21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D9" i="3"/>
  <c r="E9" i="3"/>
  <c r="F9" i="3"/>
  <c r="C9" i="3"/>
</calcChain>
</file>

<file path=xl/sharedStrings.xml><?xml version="1.0" encoding="utf-8"?>
<sst xmlns="http://schemas.openxmlformats.org/spreadsheetml/2006/main" count="57" uniqueCount="35">
  <si>
    <t>Shares</t>
  </si>
  <si>
    <t>Errors</t>
  </si>
  <si>
    <t>Total</t>
  </si>
  <si>
    <t>Growth %</t>
  </si>
  <si>
    <t>Growht Rate</t>
  </si>
  <si>
    <t>g</t>
  </si>
  <si>
    <r>
      <t>p</t>
    </r>
    <r>
      <rPr>
        <vertAlign val="subscript"/>
        <sz val="12"/>
        <color theme="1"/>
        <rFont val="CMU Serif Roman"/>
      </rPr>
      <t>0</t>
    </r>
  </si>
  <si>
    <r>
      <t>p</t>
    </r>
    <r>
      <rPr>
        <vertAlign val="subscript"/>
        <sz val="12"/>
        <color theme="1"/>
        <rFont val="CMU Serif Roman"/>
      </rPr>
      <t>1</t>
    </r>
  </si>
  <si>
    <r>
      <t>p</t>
    </r>
    <r>
      <rPr>
        <vertAlign val="subscript"/>
        <sz val="12"/>
        <color theme="1"/>
        <rFont val="CMU Serif Roman"/>
      </rPr>
      <t>2</t>
    </r>
    <r>
      <rPr>
        <sz val="12"/>
        <color theme="1"/>
        <rFont val="Calibri"/>
        <family val="2"/>
        <scheme val="minor"/>
      </rPr>
      <t/>
    </r>
  </si>
  <si>
    <r>
      <t>p</t>
    </r>
    <r>
      <rPr>
        <vertAlign val="subscript"/>
        <sz val="12"/>
        <color theme="1"/>
        <rFont val="CMU Serif Roman"/>
      </rPr>
      <t>3</t>
    </r>
    <r>
      <rPr>
        <sz val="12"/>
        <color theme="1"/>
        <rFont val="Calibri"/>
        <family val="2"/>
        <scheme val="minor"/>
      </rPr>
      <t/>
    </r>
  </si>
  <si>
    <r>
      <t>N</t>
    </r>
    <r>
      <rPr>
        <vertAlign val="subscript"/>
        <sz val="12"/>
        <color theme="1"/>
        <rFont val="CMU Serif Roman"/>
      </rPr>
      <t>0,0</t>
    </r>
  </si>
  <si>
    <r>
      <t>N</t>
    </r>
    <r>
      <rPr>
        <vertAlign val="subscript"/>
        <sz val="12"/>
        <color theme="1"/>
        <rFont val="CMU Serif Roman"/>
      </rPr>
      <t>1,0</t>
    </r>
  </si>
  <si>
    <r>
      <t>N</t>
    </r>
    <r>
      <rPr>
        <vertAlign val="subscript"/>
        <sz val="12"/>
        <color theme="1"/>
        <rFont val="CMU Serif Roman"/>
      </rPr>
      <t>2,0</t>
    </r>
  </si>
  <si>
    <r>
      <t>N</t>
    </r>
    <r>
      <rPr>
        <vertAlign val="subscript"/>
        <sz val="12"/>
        <color theme="1"/>
        <rFont val="CMU Serif Roman"/>
      </rPr>
      <t>3,0</t>
    </r>
  </si>
  <si>
    <t>Strong Ergodic Theorem of Demography</t>
  </si>
  <si>
    <t>Weak Ergodic Theorem of Demography</t>
  </si>
  <si>
    <r>
      <t>p</t>
    </r>
    <r>
      <rPr>
        <vertAlign val="subscript"/>
        <sz val="10"/>
        <color theme="1"/>
        <rFont val="CMU Serif Roman"/>
      </rPr>
      <t>0</t>
    </r>
  </si>
  <si>
    <r>
      <t>p</t>
    </r>
    <r>
      <rPr>
        <vertAlign val="subscript"/>
        <sz val="10"/>
        <color theme="1"/>
        <rFont val="CMU Serif Roman"/>
      </rPr>
      <t>1</t>
    </r>
  </si>
  <si>
    <r>
      <t>p</t>
    </r>
    <r>
      <rPr>
        <vertAlign val="subscript"/>
        <sz val="10"/>
        <color theme="1"/>
        <rFont val="CMU Serif Roman"/>
      </rPr>
      <t>2</t>
    </r>
    <r>
      <rPr>
        <sz val="12"/>
        <color theme="1"/>
        <rFont val="Calibri"/>
        <family val="2"/>
        <scheme val="minor"/>
      </rPr>
      <t/>
    </r>
  </si>
  <si>
    <r>
      <t>p</t>
    </r>
    <r>
      <rPr>
        <vertAlign val="subscript"/>
        <sz val="10"/>
        <color theme="1"/>
        <rFont val="CMU Serif Roman"/>
      </rPr>
      <t>3</t>
    </r>
    <r>
      <rPr>
        <sz val="12"/>
        <color theme="1"/>
        <rFont val="Calibri"/>
        <family val="2"/>
        <scheme val="minor"/>
      </rPr>
      <t/>
    </r>
  </si>
  <si>
    <t>Sizes</t>
  </si>
  <si>
    <t>Parameters</t>
  </si>
  <si>
    <r>
      <t>c</t>
    </r>
    <r>
      <rPr>
        <vertAlign val="subscript"/>
        <sz val="12"/>
        <color theme="1"/>
        <rFont val="CMU Serif Roman"/>
      </rPr>
      <t>0</t>
    </r>
  </si>
  <si>
    <r>
      <t>c</t>
    </r>
    <r>
      <rPr>
        <vertAlign val="subscript"/>
        <sz val="12"/>
        <color theme="1"/>
        <rFont val="CMU Serif Roman"/>
      </rPr>
      <t>1</t>
    </r>
  </si>
  <si>
    <r>
      <t>c</t>
    </r>
    <r>
      <rPr>
        <vertAlign val="subscript"/>
        <sz val="12"/>
        <color theme="1"/>
        <rFont val="CMU Serif Roman"/>
      </rPr>
      <t>2</t>
    </r>
    <r>
      <rPr>
        <sz val="12"/>
        <color theme="1"/>
        <rFont val="Calibri"/>
        <family val="2"/>
        <scheme val="minor"/>
      </rPr>
      <t/>
    </r>
  </si>
  <si>
    <r>
      <t>c</t>
    </r>
    <r>
      <rPr>
        <vertAlign val="subscript"/>
        <sz val="12"/>
        <color theme="1"/>
        <rFont val="CMU Serif Roman"/>
      </rPr>
      <t>3</t>
    </r>
    <r>
      <rPr>
        <sz val="12"/>
        <color theme="1"/>
        <rFont val="Calibri"/>
        <family val="2"/>
        <scheme val="minor"/>
      </rPr>
      <t/>
    </r>
  </si>
  <si>
    <r>
      <t>q</t>
    </r>
    <r>
      <rPr>
        <vertAlign val="subscript"/>
        <sz val="12"/>
        <color theme="1"/>
        <rFont val="CMU Serif Roman"/>
      </rPr>
      <t>0</t>
    </r>
  </si>
  <si>
    <r>
      <t>q</t>
    </r>
    <r>
      <rPr>
        <vertAlign val="subscript"/>
        <sz val="12"/>
        <color theme="1"/>
        <rFont val="CMU Serif Roman"/>
      </rPr>
      <t>1</t>
    </r>
  </si>
  <si>
    <r>
      <t>q</t>
    </r>
    <r>
      <rPr>
        <vertAlign val="subscript"/>
        <sz val="12"/>
        <color theme="1"/>
        <rFont val="CMU Serif Roman"/>
      </rPr>
      <t>2</t>
    </r>
    <r>
      <rPr>
        <sz val="12"/>
        <color theme="1"/>
        <rFont val="Calibri"/>
        <family val="2"/>
        <scheme val="minor"/>
      </rPr>
      <t/>
    </r>
  </si>
  <si>
    <r>
      <t>q</t>
    </r>
    <r>
      <rPr>
        <vertAlign val="subscript"/>
        <sz val="12"/>
        <color theme="1"/>
        <rFont val="CMU Serif Roman"/>
      </rPr>
      <t>3</t>
    </r>
    <r>
      <rPr>
        <sz val="12"/>
        <color theme="1"/>
        <rFont val="Calibri"/>
        <family val="2"/>
        <scheme val="minor"/>
      </rPr>
      <t/>
    </r>
  </si>
  <si>
    <r>
      <t>M</t>
    </r>
    <r>
      <rPr>
        <vertAlign val="subscript"/>
        <sz val="12"/>
        <color theme="1"/>
        <rFont val="CMU Serif Roman"/>
      </rPr>
      <t>0</t>
    </r>
  </si>
  <si>
    <r>
      <t>M</t>
    </r>
    <r>
      <rPr>
        <vertAlign val="subscript"/>
        <sz val="12"/>
        <color theme="1"/>
        <rFont val="CMU Serif Roman"/>
      </rPr>
      <t>1</t>
    </r>
  </si>
  <si>
    <r>
      <t>M</t>
    </r>
    <r>
      <rPr>
        <vertAlign val="subscript"/>
        <sz val="12"/>
        <color theme="1"/>
        <rFont val="CMU Serif Roman"/>
      </rPr>
      <t>2</t>
    </r>
    <r>
      <rPr>
        <sz val="12"/>
        <color theme="1"/>
        <rFont val="Calibri"/>
        <family val="2"/>
        <scheme val="minor"/>
      </rPr>
      <t/>
    </r>
  </si>
  <si>
    <r>
      <t>M</t>
    </r>
    <r>
      <rPr>
        <vertAlign val="subscript"/>
        <sz val="12"/>
        <color theme="1"/>
        <rFont val="CMU Serif Roman"/>
      </rPr>
      <t>3</t>
    </r>
    <r>
      <rPr>
        <sz val="12"/>
        <color theme="1"/>
        <rFont val="Calibri"/>
        <family val="2"/>
        <scheme val="minor"/>
      </rPr>
      <t/>
    </r>
  </si>
  <si>
    <t>Dependency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</si>
</sst>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%"/>
    <numFmt numFmtId="165" formatCode="0.0000000000"/>
    <numFmt numFmtId="166" formatCode="0.0000000000000"/>
    <numFmt numFmtId="167" formatCode="0.0000%"/>
    <numFmt numFmtId="168" formatCode="0.00000%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MU Serif Roman"/>
    </font>
    <font>
      <i/>
      <sz val="12"/>
      <color theme="1"/>
      <name val="CMU Serif Roman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vertAlign val="subscript"/>
      <sz val="12"/>
      <color theme="1"/>
      <name val="CMU Serif Roman"/>
    </font>
    <font>
      <sz val="10"/>
      <color theme="1"/>
      <name val="CMU Serif Roman"/>
    </font>
    <font>
      <sz val="10"/>
      <name val="CMU Serif Roman"/>
    </font>
    <font>
      <b/>
      <sz val="10"/>
      <color theme="1"/>
      <name val="CMU Serif Roman"/>
    </font>
    <font>
      <b/>
      <sz val="14"/>
      <color theme="1"/>
      <name val="CMU Serif Roman"/>
    </font>
    <font>
      <i/>
      <sz val="10"/>
      <color theme="1"/>
      <name val="CMU Serif Roman"/>
    </font>
    <font>
      <vertAlign val="subscript"/>
      <sz val="10"/>
      <color theme="1"/>
      <name val="CMU Serif Roman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568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/>
    <xf numFmtId="0" fontId="8" fillId="3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10" fontId="7" fillId="0" borderId="0" xfId="1" applyNumberFormat="1" applyFont="1" applyBorder="1"/>
    <xf numFmtId="2" fontId="8" fillId="0" borderId="0" xfId="0" applyNumberFormat="1" applyFont="1" applyBorder="1" applyAlignment="1">
      <alignment horizontal="center" vertical="center"/>
    </xf>
    <xf numFmtId="2" fontId="9" fillId="0" borderId="0" xfId="0" applyNumberFormat="1" applyFont="1" applyBorder="1" applyAlignment="1">
      <alignment horizontal="center"/>
    </xf>
    <xf numFmtId="164" fontId="7" fillId="0" borderId="0" xfId="1" applyNumberFormat="1" applyFont="1" applyBorder="1"/>
    <xf numFmtId="164" fontId="7" fillId="0" borderId="0" xfId="1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2" borderId="0" xfId="0" applyFont="1" applyFill="1" applyBorder="1" applyAlignment="1">
      <alignment horizontal="center"/>
    </xf>
    <xf numFmtId="0" fontId="7" fillId="2" borderId="0" xfId="0" applyFont="1" applyFill="1" applyBorder="1"/>
    <xf numFmtId="165" fontId="7" fillId="0" borderId="0" xfId="0" applyNumberFormat="1" applyFont="1" applyBorder="1"/>
    <xf numFmtId="166" fontId="7" fillId="0" borderId="0" xfId="0" applyNumberFormat="1" applyFont="1" applyBorder="1"/>
    <xf numFmtId="0" fontId="10" fillId="4" borderId="0" xfId="0" applyFont="1" applyFill="1" applyAlignment="1">
      <alignment horizontal="centerContinuous" vertical="center"/>
    </xf>
    <xf numFmtId="0" fontId="0" fillId="4" borderId="0" xfId="0" applyFill="1" applyAlignment="1">
      <alignment horizontal="centerContinuous" vertical="center"/>
    </xf>
    <xf numFmtId="0" fontId="11" fillId="0" borderId="0" xfId="0" applyFont="1" applyAlignment="1">
      <alignment horizontal="center" vertical="center"/>
    </xf>
    <xf numFmtId="10" fontId="7" fillId="0" borderId="0" xfId="1" applyNumberFormat="1" applyFont="1" applyBorder="1" applyAlignment="1">
      <alignment horizontal="center" vertical="center"/>
    </xf>
    <xf numFmtId="2" fontId="8" fillId="3" borderId="0" xfId="0" applyNumberFormat="1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7" fontId="2" fillId="0" borderId="0" xfId="0" applyNumberFormat="1" applyFont="1"/>
    <xf numFmtId="168" fontId="2" fillId="0" borderId="0" xfId="0" applyNumberFormat="1" applyFont="1"/>
    <xf numFmtId="2" fontId="2" fillId="0" borderId="0" xfId="0" applyNumberFormat="1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10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0" fontId="2" fillId="0" borderId="0" xfId="1" applyNumberFormat="1" applyFont="1"/>
    <xf numFmtId="2" fontId="2" fillId="0" borderId="0" xfId="0" applyNumberFormat="1" applyFont="1"/>
  </cellXfs>
  <cellStyles count="568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colors>
    <mruColors>
      <color rgb="FFFF8000"/>
      <color rgb="FF00FFFF"/>
      <color rgb="FFFF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Shares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Strong!$A$12</c:f>
              <c:strCache>
                <c:ptCount val="1"/>
                <c:pt idx="0">
                  <c:v>0</c:v>
                </c:pt>
              </c:strCache>
            </c:strRef>
          </c:tx>
          <c:spPr>
            <a:ln w="12700" cmpd="sng"/>
          </c:spPr>
          <c:marker>
            <c:symbol val="none"/>
          </c:marker>
          <c:xVal>
            <c:numRef>
              <c:f>Strong!$B$1:$CV$1</c:f>
              <c:numCache>
                <c:formatCode>General</c:formatCode>
                <c:ptCount val="99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</c:numCache>
            </c:numRef>
          </c:xVal>
          <c:yVal>
            <c:numRef>
              <c:f>Strong!$B$12:$CV$12</c:f>
              <c:numCache>
                <c:formatCode>0.00%</c:formatCode>
                <c:ptCount val="99"/>
                <c:pt idx="0">
                  <c:v>0.4</c:v>
                </c:pt>
                <c:pt idx="1">
                  <c:v>0.301980198019802</c:v>
                </c:pt>
                <c:pt idx="2">
                  <c:v>0.326291540045094</c:v>
                </c:pt>
                <c:pt idx="3">
                  <c:v>0.343861648197954</c:v>
                </c:pt>
                <c:pt idx="4">
                  <c:v>0.344247361683721</c:v>
                </c:pt>
                <c:pt idx="5">
                  <c:v>0.323206328348315</c:v>
                </c:pt>
                <c:pt idx="6">
                  <c:v>0.33665272906376</c:v>
                </c:pt>
                <c:pt idx="7">
                  <c:v>0.338568095042588</c:v>
                </c:pt>
                <c:pt idx="8">
                  <c:v>0.334650143315504</c:v>
                </c:pt>
                <c:pt idx="9">
                  <c:v>0.332348138301015</c:v>
                </c:pt>
                <c:pt idx="10">
                  <c:v>0.336587645426759</c:v>
                </c:pt>
                <c:pt idx="11">
                  <c:v>0.335562571689378</c:v>
                </c:pt>
                <c:pt idx="12">
                  <c:v>0.33436159042718</c:v>
                </c:pt>
                <c:pt idx="13">
                  <c:v>0.334741294233162</c:v>
                </c:pt>
                <c:pt idx="14">
                  <c:v>0.335577428139557</c:v>
                </c:pt>
                <c:pt idx="15">
                  <c:v>0.334941023860866</c:v>
                </c:pt>
                <c:pt idx="16">
                  <c:v>0.33482432384911</c:v>
                </c:pt>
                <c:pt idx="17">
                  <c:v>0.335089482402574</c:v>
                </c:pt>
                <c:pt idx="18">
                  <c:v>0.335141637493052</c:v>
                </c:pt>
                <c:pt idx="19">
                  <c:v>0.334947729516397</c:v>
                </c:pt>
                <c:pt idx="20">
                  <c:v>0.335002005314421</c:v>
                </c:pt>
                <c:pt idx="21">
                  <c:v>0.335068357159398</c:v>
                </c:pt>
                <c:pt idx="22">
                  <c:v>0.33503508557597</c:v>
                </c:pt>
                <c:pt idx="23">
                  <c:v>0.335001269366585</c:v>
                </c:pt>
                <c:pt idx="24">
                  <c:v>0.335033372934266</c:v>
                </c:pt>
                <c:pt idx="25">
                  <c:v>0.335038300217024</c:v>
                </c:pt>
                <c:pt idx="26">
                  <c:v>0.335022935279609</c:v>
                </c:pt>
                <c:pt idx="27">
                  <c:v>0.335022845395374</c:v>
                </c:pt>
                <c:pt idx="28">
                  <c:v>0.335031958028446</c:v>
                </c:pt>
                <c:pt idx="29">
                  <c:v>0.335028762297053</c:v>
                </c:pt>
                <c:pt idx="30">
                  <c:v>0.335025434444318</c:v>
                </c:pt>
                <c:pt idx="31">
                  <c:v>0.335027645796261</c:v>
                </c:pt>
                <c:pt idx="32">
                  <c:v>0.335028995183694</c:v>
                </c:pt>
                <c:pt idx="33">
                  <c:v>0.335027332095703</c:v>
                </c:pt>
                <c:pt idx="34">
                  <c:v>0.335027189266758</c:v>
                </c:pt>
                <c:pt idx="35">
                  <c:v>0.335028018631419</c:v>
                </c:pt>
                <c:pt idx="36">
                  <c:v>0.335027913346876</c:v>
                </c:pt>
                <c:pt idx="37">
                  <c:v>0.335027482484431</c:v>
                </c:pt>
                <c:pt idx="38">
                  <c:v>0.335027674516536</c:v>
                </c:pt>
                <c:pt idx="39">
                  <c:v>0.33502783123739</c:v>
                </c:pt>
                <c:pt idx="40">
                  <c:v>0.33502769868025</c:v>
                </c:pt>
                <c:pt idx="41">
                  <c:v>0.335027647499847</c:v>
                </c:pt>
                <c:pt idx="42">
                  <c:v>0.335027734036015</c:v>
                </c:pt>
                <c:pt idx="43">
                  <c:v>0.335027734222767</c:v>
                </c:pt>
                <c:pt idx="44">
                  <c:v>0.335027691301765</c:v>
                </c:pt>
                <c:pt idx="45">
                  <c:v>0.335027701620718</c:v>
                </c:pt>
                <c:pt idx="46">
                  <c:v>0.335027721828842</c:v>
                </c:pt>
                <c:pt idx="47">
                  <c:v>0.335027710454727</c:v>
                </c:pt>
                <c:pt idx="48">
                  <c:v>0.335027703470554</c:v>
                </c:pt>
                <c:pt idx="49">
                  <c:v>0.335027710996782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Strong!$A$13</c:f>
              <c:strCache>
                <c:ptCount val="1"/>
                <c:pt idx="0">
                  <c:v>1</c:v>
                </c:pt>
              </c:strCache>
            </c:strRef>
          </c:tx>
          <c:spPr>
            <a:ln w="12700" cmpd="sng"/>
          </c:spPr>
          <c:marker>
            <c:symbol val="none"/>
          </c:marker>
          <c:xVal>
            <c:numRef>
              <c:f>Strong!$B$1:$CV$1</c:f>
              <c:numCache>
                <c:formatCode>General</c:formatCode>
                <c:ptCount val="99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</c:numCache>
            </c:numRef>
          </c:xVal>
          <c:yVal>
            <c:numRef>
              <c:f>Strong!$B$13:$CV$13</c:f>
              <c:numCache>
                <c:formatCode>0.00%</c:formatCode>
                <c:ptCount val="99"/>
                <c:pt idx="0">
                  <c:v>0.3</c:v>
                </c:pt>
                <c:pt idx="1">
                  <c:v>0.376237623762376</c:v>
                </c:pt>
                <c:pt idx="2">
                  <c:v>0.284040780315655</c:v>
                </c:pt>
                <c:pt idx="3">
                  <c:v>0.306907884200831</c:v>
                </c:pt>
                <c:pt idx="4">
                  <c:v>0.323434223552531</c:v>
                </c:pt>
                <c:pt idx="5">
                  <c:v>0.323797023365876</c:v>
                </c:pt>
                <c:pt idx="6">
                  <c:v>0.304005952406831</c:v>
                </c:pt>
                <c:pt idx="7">
                  <c:v>0.31665355704017</c:v>
                </c:pt>
                <c:pt idx="8">
                  <c:v>0.318455138901444</c:v>
                </c:pt>
                <c:pt idx="9">
                  <c:v>0.31476993678191</c:v>
                </c:pt>
                <c:pt idx="10">
                  <c:v>0.312604684540559</c:v>
                </c:pt>
                <c:pt idx="11">
                  <c:v>0.316592339757843</c:v>
                </c:pt>
                <c:pt idx="12">
                  <c:v>0.315628161490009</c:v>
                </c:pt>
                <c:pt idx="13">
                  <c:v>0.314498525649328</c:v>
                </c:pt>
                <c:pt idx="14">
                  <c:v>0.314855672793568</c:v>
                </c:pt>
                <c:pt idx="15">
                  <c:v>0.315642135378792</c:v>
                </c:pt>
                <c:pt idx="16">
                  <c:v>0.315043537294874</c:v>
                </c:pt>
                <c:pt idx="17">
                  <c:v>0.314933769957083</c:v>
                </c:pt>
                <c:pt idx="18">
                  <c:v>0.315183176517272</c:v>
                </c:pt>
                <c:pt idx="19">
                  <c:v>0.315232233285544</c:v>
                </c:pt>
                <c:pt idx="20">
                  <c:v>0.315049844594631</c:v>
                </c:pt>
                <c:pt idx="21">
                  <c:v>0.315100896087821</c:v>
                </c:pt>
                <c:pt idx="22">
                  <c:v>0.315163306239038</c:v>
                </c:pt>
                <c:pt idx="23">
                  <c:v>0.315132011185318</c:v>
                </c:pt>
                <c:pt idx="24">
                  <c:v>0.315100203859659</c:v>
                </c:pt>
                <c:pt idx="25">
                  <c:v>0.315130400284705</c:v>
                </c:pt>
                <c:pt idx="26">
                  <c:v>0.315135034857597</c:v>
                </c:pt>
                <c:pt idx="27">
                  <c:v>0.315120582688741</c:v>
                </c:pt>
                <c:pt idx="28">
                  <c:v>0.315120498144164</c:v>
                </c:pt>
                <c:pt idx="29">
                  <c:v>0.315129069432697</c:v>
                </c:pt>
                <c:pt idx="30">
                  <c:v>0.315126063546733</c:v>
                </c:pt>
                <c:pt idx="31">
                  <c:v>0.315122933388219</c:v>
                </c:pt>
                <c:pt idx="32">
                  <c:v>0.315125013372721</c:v>
                </c:pt>
                <c:pt idx="33">
                  <c:v>0.315126282598524</c:v>
                </c:pt>
                <c:pt idx="34">
                  <c:v>0.31512471830784</c:v>
                </c:pt>
                <c:pt idx="35">
                  <c:v>0.315124583963782</c:v>
                </c:pt>
                <c:pt idx="36">
                  <c:v>0.315125364059255</c:v>
                </c:pt>
                <c:pt idx="37">
                  <c:v>0.31512526502924</c:v>
                </c:pt>
                <c:pt idx="38">
                  <c:v>0.315124859762583</c:v>
                </c:pt>
                <c:pt idx="39">
                  <c:v>0.315125040386841</c:v>
                </c:pt>
                <c:pt idx="40">
                  <c:v>0.315125187797545</c:v>
                </c:pt>
                <c:pt idx="41">
                  <c:v>0.315125063115087</c:v>
                </c:pt>
                <c:pt idx="42">
                  <c:v>0.315125014975104</c:v>
                </c:pt>
                <c:pt idx="43">
                  <c:v>0.315125096370509</c:v>
                </c:pt>
                <c:pt idx="44">
                  <c:v>0.315125096546167</c:v>
                </c:pt>
                <c:pt idx="45">
                  <c:v>0.315125056174927</c:v>
                </c:pt>
                <c:pt idx="46">
                  <c:v>0.315125065880873</c:v>
                </c:pt>
                <c:pt idx="47">
                  <c:v>0.315125084888514</c:v>
                </c:pt>
                <c:pt idx="48">
                  <c:v>0.31512507419009</c:v>
                </c:pt>
                <c:pt idx="49">
                  <c:v>0.315125067620818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Strong!$A$14</c:f>
              <c:strCache>
                <c:ptCount val="1"/>
                <c:pt idx="0">
                  <c:v>2</c:v>
                </c:pt>
              </c:strCache>
            </c:strRef>
          </c:tx>
          <c:spPr>
            <a:ln w="12700" cmpd="sng"/>
          </c:spPr>
          <c:marker>
            <c:symbol val="none"/>
          </c:marker>
          <c:xVal>
            <c:numRef>
              <c:f>Strong!$B$1:$CV$1</c:f>
              <c:numCache>
                <c:formatCode>General</c:formatCode>
                <c:ptCount val="99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</c:numCache>
            </c:numRef>
          </c:xVal>
          <c:yVal>
            <c:numRef>
              <c:f>Strong!$B$14:$CV$14</c:f>
              <c:numCache>
                <c:formatCode>0.00%</c:formatCode>
                <c:ptCount val="99"/>
                <c:pt idx="0">
                  <c:v>0.2</c:v>
                </c:pt>
                <c:pt idx="1">
                  <c:v>0.222772277227723</c:v>
                </c:pt>
                <c:pt idx="2">
                  <c:v>0.279384374080972</c:v>
                </c:pt>
                <c:pt idx="3">
                  <c:v>0.210921371521526</c:v>
                </c:pt>
                <c:pt idx="4">
                  <c:v>0.227901894208538</c:v>
                </c:pt>
                <c:pt idx="5">
                  <c:v>0.240173928380592</c:v>
                </c:pt>
                <c:pt idx="6">
                  <c:v>0.240443334182581</c:v>
                </c:pt>
                <c:pt idx="7">
                  <c:v>0.225746994361508</c:v>
                </c:pt>
                <c:pt idx="8">
                  <c:v>0.235138779980324</c:v>
                </c:pt>
                <c:pt idx="9">
                  <c:v>0.236476588293152</c:v>
                </c:pt>
                <c:pt idx="10">
                  <c:v>0.233740052065775</c:v>
                </c:pt>
                <c:pt idx="11">
                  <c:v>0.232132191490514</c:v>
                </c:pt>
                <c:pt idx="12">
                  <c:v>0.235093321602359</c:v>
                </c:pt>
                <c:pt idx="13">
                  <c:v>0.234377347641096</c:v>
                </c:pt>
                <c:pt idx="14">
                  <c:v>0.23353850914554</c:v>
                </c:pt>
                <c:pt idx="15">
                  <c:v>0.233803717420966</c:v>
                </c:pt>
                <c:pt idx="16">
                  <c:v>0.234387724291182</c:v>
                </c:pt>
                <c:pt idx="17">
                  <c:v>0.23394322076352</c:v>
                </c:pt>
                <c:pt idx="18">
                  <c:v>0.233861710364171</c:v>
                </c:pt>
                <c:pt idx="19">
                  <c:v>0.2340469132554</c:v>
                </c:pt>
                <c:pt idx="20">
                  <c:v>0.234083341548671</c:v>
                </c:pt>
                <c:pt idx="21">
                  <c:v>0.233947904401954</c:v>
                </c:pt>
                <c:pt idx="22">
                  <c:v>0.2339858139266</c:v>
                </c:pt>
                <c:pt idx="23">
                  <c:v>0.234032158098295</c:v>
                </c:pt>
                <c:pt idx="24">
                  <c:v>0.234008919197018</c:v>
                </c:pt>
                <c:pt idx="25">
                  <c:v>0.233985299895786</c:v>
                </c:pt>
                <c:pt idx="26">
                  <c:v>0.234007722983692</c:v>
                </c:pt>
                <c:pt idx="27">
                  <c:v>0.234011164498215</c:v>
                </c:pt>
                <c:pt idx="28">
                  <c:v>0.234000432689659</c:v>
                </c:pt>
                <c:pt idx="29">
                  <c:v>0.234000369909033</c:v>
                </c:pt>
                <c:pt idx="30">
                  <c:v>0.23400673472725</c:v>
                </c:pt>
                <c:pt idx="31">
                  <c:v>0.234004502633712</c:v>
                </c:pt>
                <c:pt idx="32">
                  <c:v>0.234002178258579</c:v>
                </c:pt>
                <c:pt idx="33">
                  <c:v>0.234003722801525</c:v>
                </c:pt>
                <c:pt idx="34">
                  <c:v>0.234004665295934</c:v>
                </c:pt>
                <c:pt idx="35">
                  <c:v>0.23400350369394</c:v>
                </c:pt>
                <c:pt idx="36">
                  <c:v>0.234003403933502</c:v>
                </c:pt>
                <c:pt idx="37">
                  <c:v>0.234003983212318</c:v>
                </c:pt>
                <c:pt idx="38">
                  <c:v>0.234003909675178</c:v>
                </c:pt>
                <c:pt idx="39">
                  <c:v>0.234003608734592</c:v>
                </c:pt>
                <c:pt idx="40">
                  <c:v>0.234003742861516</c:v>
                </c:pt>
                <c:pt idx="41">
                  <c:v>0.23400385232491</c:v>
                </c:pt>
                <c:pt idx="42">
                  <c:v>0.234003759738926</c:v>
                </c:pt>
                <c:pt idx="43">
                  <c:v>0.234003723991414</c:v>
                </c:pt>
                <c:pt idx="44">
                  <c:v>0.234003784433546</c:v>
                </c:pt>
                <c:pt idx="45">
                  <c:v>0.234003784563986</c:v>
                </c:pt>
                <c:pt idx="46">
                  <c:v>0.234003754585342</c:v>
                </c:pt>
                <c:pt idx="47">
                  <c:v>0.234003761792728</c:v>
                </c:pt>
                <c:pt idx="48">
                  <c:v>0.234003775907313</c:v>
                </c:pt>
                <c:pt idx="49">
                  <c:v>0.234003767962938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Strong!$A$15</c:f>
              <c:strCache>
                <c:ptCount val="1"/>
                <c:pt idx="0">
                  <c:v>3</c:v>
                </c:pt>
              </c:strCache>
            </c:strRef>
          </c:tx>
          <c:spPr>
            <a:ln w="12700" cmpd="sng"/>
          </c:spPr>
          <c:marker>
            <c:symbol val="none"/>
          </c:marker>
          <c:xVal>
            <c:numRef>
              <c:f>Strong!$B$1:$CV$1</c:f>
              <c:numCache>
                <c:formatCode>General</c:formatCode>
                <c:ptCount val="99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</c:numCache>
            </c:numRef>
          </c:xVal>
          <c:yVal>
            <c:numRef>
              <c:f>Strong!$B$15:$CV$15</c:f>
              <c:numCache>
                <c:formatCode>0.00%</c:formatCode>
                <c:ptCount val="99"/>
                <c:pt idx="0">
                  <c:v>0.1</c:v>
                </c:pt>
                <c:pt idx="1">
                  <c:v>0.099009900990099</c:v>
                </c:pt>
                <c:pt idx="2">
                  <c:v>0.110283305558279</c:v>
                </c:pt>
                <c:pt idx="3">
                  <c:v>0.138309096079689</c:v>
                </c:pt>
                <c:pt idx="4">
                  <c:v>0.104416520555211</c:v>
                </c:pt>
                <c:pt idx="5">
                  <c:v>0.112822719905217</c:v>
                </c:pt>
                <c:pt idx="6">
                  <c:v>0.118897984346828</c:v>
                </c:pt>
                <c:pt idx="7">
                  <c:v>0.119031353555733</c:v>
                </c:pt>
                <c:pt idx="8">
                  <c:v>0.111755937802727</c:v>
                </c:pt>
                <c:pt idx="9">
                  <c:v>0.116405336623923</c:v>
                </c:pt>
                <c:pt idx="10">
                  <c:v>0.117067617966907</c:v>
                </c:pt>
                <c:pt idx="11">
                  <c:v>0.115712897062265</c:v>
                </c:pt>
                <c:pt idx="12">
                  <c:v>0.114916926480453</c:v>
                </c:pt>
                <c:pt idx="13">
                  <c:v>0.116382832476415</c:v>
                </c:pt>
                <c:pt idx="14">
                  <c:v>0.116028389921335</c:v>
                </c:pt>
                <c:pt idx="15">
                  <c:v>0.115613123339376</c:v>
                </c:pt>
                <c:pt idx="16">
                  <c:v>0.115744414564835</c:v>
                </c:pt>
                <c:pt idx="17">
                  <c:v>0.116033526876823</c:v>
                </c:pt>
                <c:pt idx="18">
                  <c:v>0.115813475625505</c:v>
                </c:pt>
                <c:pt idx="19">
                  <c:v>0.115773123942659</c:v>
                </c:pt>
                <c:pt idx="20">
                  <c:v>0.115864808542277</c:v>
                </c:pt>
                <c:pt idx="21">
                  <c:v>0.115882842350827</c:v>
                </c:pt>
                <c:pt idx="22">
                  <c:v>0.115815794258393</c:v>
                </c:pt>
                <c:pt idx="23">
                  <c:v>0.115834561349802</c:v>
                </c:pt>
                <c:pt idx="24">
                  <c:v>0.115857504009057</c:v>
                </c:pt>
                <c:pt idx="25">
                  <c:v>0.115845999602484</c:v>
                </c:pt>
                <c:pt idx="26">
                  <c:v>0.115834306879102</c:v>
                </c:pt>
                <c:pt idx="27">
                  <c:v>0.115845407417669</c:v>
                </c:pt>
                <c:pt idx="28">
                  <c:v>0.11584711113773</c:v>
                </c:pt>
                <c:pt idx="29">
                  <c:v>0.115841798361217</c:v>
                </c:pt>
                <c:pt idx="30">
                  <c:v>0.115841767281699</c:v>
                </c:pt>
                <c:pt idx="31">
                  <c:v>0.115844918181807</c:v>
                </c:pt>
                <c:pt idx="32">
                  <c:v>0.115843813185006</c:v>
                </c:pt>
                <c:pt idx="33">
                  <c:v>0.115842662504247</c:v>
                </c:pt>
                <c:pt idx="34">
                  <c:v>0.115843427129468</c:v>
                </c:pt>
                <c:pt idx="35">
                  <c:v>0.115843893710858</c:v>
                </c:pt>
                <c:pt idx="36">
                  <c:v>0.115843318660367</c:v>
                </c:pt>
                <c:pt idx="37">
                  <c:v>0.115843269274011</c:v>
                </c:pt>
                <c:pt idx="38">
                  <c:v>0.115843556045702</c:v>
                </c:pt>
                <c:pt idx="39">
                  <c:v>0.115843519641177</c:v>
                </c:pt>
                <c:pt idx="40">
                  <c:v>0.115843370660689</c:v>
                </c:pt>
                <c:pt idx="41">
                  <c:v>0.115843437060156</c:v>
                </c:pt>
                <c:pt idx="42">
                  <c:v>0.115843491249955</c:v>
                </c:pt>
                <c:pt idx="43">
                  <c:v>0.11584344541531</c:v>
                </c:pt>
                <c:pt idx="44">
                  <c:v>0.115843427718522</c:v>
                </c:pt>
                <c:pt idx="45">
                  <c:v>0.11584345764037</c:v>
                </c:pt>
                <c:pt idx="46">
                  <c:v>0.115843457704943</c:v>
                </c:pt>
                <c:pt idx="47">
                  <c:v>0.115843442864031</c:v>
                </c:pt>
                <c:pt idx="48">
                  <c:v>0.115843446432043</c:v>
                </c:pt>
                <c:pt idx="49">
                  <c:v>0.115843453419462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400024"/>
        <c:axId val="438403240"/>
      </c:scatterChart>
      <c:valAx>
        <c:axId val="438400024"/>
        <c:scaling>
          <c:orientation val="minMax"/>
          <c:max val="50.0"/>
          <c:min val="0.0"/>
        </c:scaling>
        <c:delete val="0"/>
        <c:axPos val="b"/>
        <c:numFmt formatCode="General" sourceLinked="1"/>
        <c:majorTickMark val="out"/>
        <c:minorTickMark val="none"/>
        <c:tickLblPos val="nextTo"/>
        <c:crossAx val="438403240"/>
        <c:crosses val="autoZero"/>
        <c:crossBetween val="midCat"/>
      </c:valAx>
      <c:valAx>
        <c:axId val="438403240"/>
        <c:scaling>
          <c:orientation val="minMax"/>
          <c:min val="0.05"/>
        </c:scaling>
        <c:delete val="0"/>
        <c:axPos val="l"/>
        <c:numFmt formatCode="0%" sourceLinked="0"/>
        <c:majorTickMark val="out"/>
        <c:minorTickMark val="none"/>
        <c:tickLblPos val="nextTo"/>
        <c:crossAx val="438400024"/>
        <c:crosses val="autoZero"/>
        <c:crossBetween val="midCat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97839506172839"/>
          <c:y val="0.156508150297002"/>
          <c:w val="0.581275720164609"/>
          <c:h val="0.0904924713358198"/>
        </c:manualLayout>
      </c:layout>
      <c:overlay val="1"/>
    </c:legend>
    <c:plotVisOnly val="1"/>
    <c:dispBlanksAs val="gap"/>
    <c:showDLblsOverMax val="0"/>
  </c:chart>
  <c:txPr>
    <a:bodyPr/>
    <a:lstStyle/>
    <a:p>
      <a:pPr>
        <a:defRPr>
          <a:latin typeface="CMU Serif Roman"/>
          <a:cs typeface="CMU Serif Roman"/>
        </a:defRPr>
      </a:pPr>
      <a:endParaRPr lang="en-US"/>
    </a:p>
  </c:txPr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Size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Strong!$A$12</c:f>
              <c:strCache>
                <c:ptCount val="1"/>
                <c:pt idx="0">
                  <c:v>0</c:v>
                </c:pt>
              </c:strCache>
            </c:strRef>
          </c:tx>
          <c:spPr>
            <a:ln w="12700" cmpd="sng"/>
          </c:spPr>
          <c:marker>
            <c:symbol val="none"/>
          </c:marker>
          <c:xVal>
            <c:numRef>
              <c:f>Strong!$B$1:$CV$1</c:f>
              <c:numCache>
                <c:formatCode>General</c:formatCode>
                <c:ptCount val="99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</c:numCache>
            </c:numRef>
          </c:xVal>
          <c:yVal>
            <c:numRef>
              <c:f>Strong!$B$3:$CV$3</c:f>
              <c:numCache>
                <c:formatCode>0.00</c:formatCode>
                <c:ptCount val="99"/>
                <c:pt idx="0" formatCode="General">
                  <c:v>100.0</c:v>
                </c:pt>
                <c:pt idx="1">
                  <c:v>76.25</c:v>
                </c:pt>
                <c:pt idx="2">
                  <c:v>83.2125</c:v>
                </c:pt>
                <c:pt idx="3">
                  <c:v>88.57024999999998</c:v>
                </c:pt>
                <c:pt idx="4">
                  <c:v>89.55629625</c:v>
                </c:pt>
                <c:pt idx="5">
                  <c:v>84.9232748375</c:v>
                </c:pt>
                <c:pt idx="6">
                  <c:v>89.34091391399997</c:v>
                </c:pt>
                <c:pt idx="7">
                  <c:v>90.74770594767124</c:v>
                </c:pt>
                <c:pt idx="8">
                  <c:v>90.59453793214794</c:v>
                </c:pt>
                <c:pt idx="9">
                  <c:v>90.87106606597143</c:v>
                </c:pt>
                <c:pt idx="10">
                  <c:v>92.95054006961498</c:v>
                </c:pt>
                <c:pt idx="11">
                  <c:v>93.5941348898625</c:v>
                </c:pt>
                <c:pt idx="12">
                  <c:v>94.19175230202003</c:v>
                </c:pt>
                <c:pt idx="13">
                  <c:v>95.24170441257593</c:v>
                </c:pt>
                <c:pt idx="14">
                  <c:v>96.43440004775555</c:v>
                </c:pt>
                <c:pt idx="15">
                  <c:v>97.2140326455767</c:v>
                </c:pt>
                <c:pt idx="16">
                  <c:v>98.15196298662062</c:v>
                </c:pt>
                <c:pt idx="17">
                  <c:v>99.21198972895786</c:v>
                </c:pt>
                <c:pt idx="18">
                  <c:v>100.2197059212022</c:v>
                </c:pt>
                <c:pt idx="19">
                  <c:v>101.1633374898746</c:v>
                </c:pt>
                <c:pt idx="20">
                  <c:v>102.191527561813</c:v>
                </c:pt>
                <c:pt idx="21">
                  <c:v>103.2338857071753</c:v>
                </c:pt>
                <c:pt idx="22">
                  <c:v>104.255871147354</c:v>
                </c:pt>
                <c:pt idx="23">
                  <c:v>105.2878017368628</c:v>
                </c:pt>
                <c:pt idx="24">
                  <c:v>106.3508705072879</c:v>
                </c:pt>
                <c:pt idx="25">
                  <c:v>107.4159589386252</c:v>
                </c:pt>
                <c:pt idx="26">
                  <c:v>108.4851431449575</c:v>
                </c:pt>
                <c:pt idx="27">
                  <c:v>109.5699651795686</c:v>
                </c:pt>
                <c:pt idx="28">
                  <c:v>110.668674941305</c:v>
                </c:pt>
                <c:pt idx="29">
                  <c:v>111.7742955117347</c:v>
                </c:pt>
                <c:pt idx="30">
                  <c:v>112.8909171061772</c:v>
                </c:pt>
                <c:pt idx="31">
                  <c:v>114.0205788707393</c:v>
                </c:pt>
                <c:pt idx="32">
                  <c:v>115.1612484913651</c:v>
                </c:pt>
                <c:pt idx="33">
                  <c:v>116.3122835978277</c:v>
                </c:pt>
                <c:pt idx="34">
                  <c:v>117.4753563516581</c:v>
                </c:pt>
                <c:pt idx="35">
                  <c:v>118.6504036352407</c:v>
                </c:pt>
                <c:pt idx="36">
                  <c:v>119.8368700121339</c:v>
                </c:pt>
                <c:pt idx="37">
                  <c:v>121.0350830549596</c:v>
                </c:pt>
                <c:pt idx="38">
                  <c:v>122.2455039545312</c:v>
                </c:pt>
                <c:pt idx="39">
                  <c:v>123.4680167505111</c:v>
                </c:pt>
                <c:pt idx="40">
                  <c:v>124.7026475781367</c:v>
                </c:pt>
                <c:pt idx="41">
                  <c:v>125.9496548132549</c:v>
                </c:pt>
                <c:pt idx="42">
                  <c:v>127.2091842189518</c:v>
                </c:pt>
                <c:pt idx="43">
                  <c:v>128.4812761327598</c:v>
                </c:pt>
                <c:pt idx="44">
                  <c:v>129.7660722695214</c:v>
                </c:pt>
                <c:pt idx="45">
                  <c:v>131.0637370290189</c:v>
                </c:pt>
                <c:pt idx="46">
                  <c:v>132.3743823838361</c:v>
                </c:pt>
                <c:pt idx="47">
                  <c:v>133.6981216686538</c:v>
                </c:pt>
                <c:pt idx="48">
                  <c:v>135.0351000703237</c:v>
                </c:pt>
                <c:pt idx="49">
                  <c:v>136.3854541348572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Strong!$A$13</c:f>
              <c:strCache>
                <c:ptCount val="1"/>
                <c:pt idx="0">
                  <c:v>1</c:v>
                </c:pt>
              </c:strCache>
            </c:strRef>
          </c:tx>
          <c:spPr>
            <a:ln w="12700" cmpd="sng"/>
          </c:spPr>
          <c:marker>
            <c:symbol val="none"/>
          </c:marker>
          <c:xVal>
            <c:numRef>
              <c:f>Strong!$B$1:$CV$1</c:f>
              <c:numCache>
                <c:formatCode>General</c:formatCode>
                <c:ptCount val="99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</c:numCache>
            </c:numRef>
          </c:xVal>
          <c:yVal>
            <c:numRef>
              <c:f>Strong!$B$4:$CV$4</c:f>
              <c:numCache>
                <c:formatCode>0.00</c:formatCode>
                <c:ptCount val="99"/>
                <c:pt idx="0" formatCode="General">
                  <c:v>75.0</c:v>
                </c:pt>
                <c:pt idx="1">
                  <c:v>95.0</c:v>
                </c:pt>
                <c:pt idx="2">
                  <c:v>72.4375</c:v>
                </c:pt>
                <c:pt idx="3">
                  <c:v>79.051875</c:v>
                </c:pt>
                <c:pt idx="4">
                  <c:v>84.14173749999999</c:v>
                </c:pt>
                <c:pt idx="5">
                  <c:v>85.0784814375</c:v>
                </c:pt>
                <c:pt idx="6">
                  <c:v>80.67711109562499</c:v>
                </c:pt>
                <c:pt idx="7">
                  <c:v>84.87386821829996</c:v>
                </c:pt>
                <c:pt idx="8">
                  <c:v>86.21032065028768</c:v>
                </c:pt>
                <c:pt idx="9">
                  <c:v>86.06481103554054</c:v>
                </c:pt>
                <c:pt idx="10">
                  <c:v>86.32751276267285</c:v>
                </c:pt>
                <c:pt idx="11">
                  <c:v>88.30301306613424</c:v>
                </c:pt>
                <c:pt idx="12">
                  <c:v>88.91442814536938</c:v>
                </c:pt>
                <c:pt idx="13">
                  <c:v>89.48216468691903</c:v>
                </c:pt>
                <c:pt idx="14">
                  <c:v>90.4796191919471</c:v>
                </c:pt>
                <c:pt idx="15">
                  <c:v>91.61268004536778</c:v>
                </c:pt>
                <c:pt idx="16">
                  <c:v>92.35333101329786</c:v>
                </c:pt>
                <c:pt idx="17">
                  <c:v>93.24436483728958</c:v>
                </c:pt>
                <c:pt idx="18">
                  <c:v>94.25139024250996</c:v>
                </c:pt>
                <c:pt idx="19">
                  <c:v>95.2087206251421</c:v>
                </c:pt>
                <c:pt idx="20">
                  <c:v>96.10517061538081</c:v>
                </c:pt>
                <c:pt idx="21">
                  <c:v>97.08195118372225</c:v>
                </c:pt>
                <c:pt idx="22">
                  <c:v>98.07219142181653</c:v>
                </c:pt>
                <c:pt idx="23">
                  <c:v>99.04307758998628</c:v>
                </c:pt>
                <c:pt idx="24">
                  <c:v>100.0234116500196</c:v>
                </c:pt>
                <c:pt idx="25">
                  <c:v>101.0333269819235</c:v>
                </c:pt>
                <c:pt idx="26">
                  <c:v>102.0451609916939</c:v>
                </c:pt>
                <c:pt idx="27">
                  <c:v>103.0608859877096</c:v>
                </c:pt>
                <c:pt idx="28">
                  <c:v>104.0914669205901</c:v>
                </c:pt>
                <c:pt idx="29">
                  <c:v>105.1352411942398</c:v>
                </c:pt>
                <c:pt idx="30">
                  <c:v>106.185580736148</c:v>
                </c:pt>
                <c:pt idx="31">
                  <c:v>107.2463712508683</c:v>
                </c:pt>
                <c:pt idx="32">
                  <c:v>108.3195499272023</c:v>
                </c:pt>
                <c:pt idx="33">
                  <c:v>109.4031860667968</c:v>
                </c:pt>
                <c:pt idx="34">
                  <c:v>110.4966694179363</c:v>
                </c:pt>
                <c:pt idx="35">
                  <c:v>111.6015885340752</c:v>
                </c:pt>
                <c:pt idx="36">
                  <c:v>112.7178834534786</c:v>
                </c:pt>
                <c:pt idx="37">
                  <c:v>113.8450265115272</c:v>
                </c:pt>
                <c:pt idx="38">
                  <c:v>114.9833289022116</c:v>
                </c:pt>
                <c:pt idx="39">
                  <c:v>116.1332287568047</c:v>
                </c:pt>
                <c:pt idx="40">
                  <c:v>117.2946159129855</c:v>
                </c:pt>
                <c:pt idx="41">
                  <c:v>118.46751519923</c:v>
                </c:pt>
                <c:pt idx="42">
                  <c:v>119.6521720725921</c:v>
                </c:pt>
                <c:pt idx="43">
                  <c:v>120.8487250080042</c:v>
                </c:pt>
                <c:pt idx="44">
                  <c:v>122.0572123261218</c:v>
                </c:pt>
                <c:pt idx="45">
                  <c:v>123.2777686560454</c:v>
                </c:pt>
                <c:pt idx="46">
                  <c:v>124.5105501775679</c:v>
                </c:pt>
                <c:pt idx="47">
                  <c:v>125.7556632646443</c:v>
                </c:pt>
                <c:pt idx="48">
                  <c:v>127.0132155852211</c:v>
                </c:pt>
                <c:pt idx="49">
                  <c:v>128.2833450668075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Strong!$A$14</c:f>
              <c:strCache>
                <c:ptCount val="1"/>
                <c:pt idx="0">
                  <c:v>2</c:v>
                </c:pt>
              </c:strCache>
            </c:strRef>
          </c:tx>
          <c:spPr>
            <a:ln w="12700" cmpd="sng"/>
          </c:spPr>
          <c:marker>
            <c:symbol val="none"/>
          </c:marker>
          <c:xVal>
            <c:numRef>
              <c:f>Strong!$B$1:$CV$1</c:f>
              <c:numCache>
                <c:formatCode>General</c:formatCode>
                <c:ptCount val="99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</c:numCache>
            </c:numRef>
          </c:xVal>
          <c:yVal>
            <c:numRef>
              <c:f>Strong!$B$5:$CV$5</c:f>
              <c:numCache>
                <c:formatCode>0.00</c:formatCode>
                <c:ptCount val="99"/>
                <c:pt idx="0" formatCode="General">
                  <c:v>50.0</c:v>
                </c:pt>
                <c:pt idx="1">
                  <c:v>56.25</c:v>
                </c:pt>
                <c:pt idx="2">
                  <c:v>71.25</c:v>
                </c:pt>
                <c:pt idx="3">
                  <c:v>54.328125</c:v>
                </c:pt>
                <c:pt idx="4">
                  <c:v>59.28890625</c:v>
                </c:pt>
                <c:pt idx="5">
                  <c:v>63.106303125</c:v>
                </c:pt>
                <c:pt idx="6">
                  <c:v>63.80886107812501</c:v>
                </c:pt>
                <c:pt idx="7">
                  <c:v>60.50783332171875</c:v>
                </c:pt>
                <c:pt idx="8">
                  <c:v>63.65540116372497</c:v>
                </c:pt>
                <c:pt idx="9">
                  <c:v>64.65774048771575</c:v>
                </c:pt>
                <c:pt idx="10">
                  <c:v>64.54860827665541</c:v>
                </c:pt>
                <c:pt idx="11">
                  <c:v>64.74563457200463</c:v>
                </c:pt>
                <c:pt idx="12">
                  <c:v>66.22725979960068</c:v>
                </c:pt>
                <c:pt idx="13">
                  <c:v>66.68582110902705</c:v>
                </c:pt>
                <c:pt idx="14">
                  <c:v>67.11162351518927</c:v>
                </c:pt>
                <c:pt idx="15">
                  <c:v>67.85971439396035</c:v>
                </c:pt>
                <c:pt idx="16">
                  <c:v>68.70951003402584</c:v>
                </c:pt>
                <c:pt idx="17">
                  <c:v>69.2649982599734</c:v>
                </c:pt>
                <c:pt idx="18">
                  <c:v>69.93327362796718</c:v>
                </c:pt>
                <c:pt idx="19">
                  <c:v>70.68854268188247</c:v>
                </c:pt>
                <c:pt idx="20">
                  <c:v>71.40654046885657</c:v>
                </c:pt>
                <c:pt idx="21">
                  <c:v>72.07887796153561</c:v>
                </c:pt>
                <c:pt idx="22">
                  <c:v>72.8114633877917</c:v>
                </c:pt>
                <c:pt idx="23">
                  <c:v>73.5541435663624</c:v>
                </c:pt>
                <c:pt idx="24">
                  <c:v>74.28230819248971</c:v>
                </c:pt>
                <c:pt idx="25">
                  <c:v>75.01755873751472</c:v>
                </c:pt>
                <c:pt idx="26">
                  <c:v>75.77499523644261</c:v>
                </c:pt>
                <c:pt idx="27">
                  <c:v>76.53387074377044</c:v>
                </c:pt>
                <c:pt idx="28">
                  <c:v>77.2956644907822</c:v>
                </c:pt>
                <c:pt idx="29">
                  <c:v>78.0686001904426</c:v>
                </c:pt>
                <c:pt idx="30">
                  <c:v>78.85143089567983</c:v>
                </c:pt>
                <c:pt idx="31">
                  <c:v>79.63918555211099</c:v>
                </c:pt>
                <c:pt idx="32">
                  <c:v>80.43477843815126</c:v>
                </c:pt>
                <c:pt idx="33">
                  <c:v>81.23966244540176</c:v>
                </c:pt>
                <c:pt idx="34">
                  <c:v>82.0523895500976</c:v>
                </c:pt>
                <c:pt idx="35">
                  <c:v>82.87250206345225</c:v>
                </c:pt>
                <c:pt idx="36">
                  <c:v>83.70119140055638</c:v>
                </c:pt>
                <c:pt idx="37">
                  <c:v>84.53841259010895</c:v>
                </c:pt>
                <c:pt idx="38">
                  <c:v>85.38376988364541</c:v>
                </c:pt>
                <c:pt idx="39">
                  <c:v>86.23749667665872</c:v>
                </c:pt>
                <c:pt idx="40">
                  <c:v>87.09992156760348</c:v>
                </c:pt>
                <c:pt idx="41">
                  <c:v>87.97096193473912</c:v>
                </c:pt>
                <c:pt idx="42">
                  <c:v>88.85063639942243</c:v>
                </c:pt>
                <c:pt idx="43">
                  <c:v>89.73912905444407</c:v>
                </c:pt>
                <c:pt idx="44">
                  <c:v>90.63654375600314</c:v>
                </c:pt>
                <c:pt idx="45">
                  <c:v>91.54290924459134</c:v>
                </c:pt>
                <c:pt idx="46">
                  <c:v>92.45832649203402</c:v>
                </c:pt>
                <c:pt idx="47">
                  <c:v>93.38291263317593</c:v>
                </c:pt>
                <c:pt idx="48">
                  <c:v>94.3167474484832</c:v>
                </c:pt>
                <c:pt idx="49">
                  <c:v>95.25991168891583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Strong!$A$15</c:f>
              <c:strCache>
                <c:ptCount val="1"/>
                <c:pt idx="0">
                  <c:v>3</c:v>
                </c:pt>
              </c:strCache>
            </c:strRef>
          </c:tx>
          <c:spPr>
            <a:ln w="12700" cmpd="sng"/>
          </c:spPr>
          <c:marker>
            <c:symbol val="none"/>
          </c:marker>
          <c:xVal>
            <c:numRef>
              <c:f>Strong!$B$1:$CV$1</c:f>
              <c:numCache>
                <c:formatCode>General</c:formatCode>
                <c:ptCount val="99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</c:numCache>
            </c:numRef>
          </c:xVal>
          <c:yVal>
            <c:numRef>
              <c:f>Strong!$B$6:$CV$6</c:f>
              <c:numCache>
                <c:formatCode>0.00</c:formatCode>
                <c:ptCount val="99"/>
                <c:pt idx="0" formatCode="General">
                  <c:v>25.0</c:v>
                </c:pt>
                <c:pt idx="1">
                  <c:v>25.0</c:v>
                </c:pt>
                <c:pt idx="2">
                  <c:v>28.125</c:v>
                </c:pt>
                <c:pt idx="3">
                  <c:v>35.625</c:v>
                </c:pt>
                <c:pt idx="4">
                  <c:v>27.1640625</c:v>
                </c:pt>
                <c:pt idx="5">
                  <c:v>29.644453125</c:v>
                </c:pt>
                <c:pt idx="6">
                  <c:v>31.5531515625</c:v>
                </c:pt>
                <c:pt idx="7">
                  <c:v>31.9044305390625</c:v>
                </c:pt>
                <c:pt idx="8">
                  <c:v>30.25391666085937</c:v>
                </c:pt>
                <c:pt idx="9">
                  <c:v>31.82770058186249</c:v>
                </c:pt>
                <c:pt idx="10">
                  <c:v>32.32887024385787</c:v>
                </c:pt>
                <c:pt idx="11">
                  <c:v>32.2743041383277</c:v>
                </c:pt>
                <c:pt idx="12">
                  <c:v>32.37281728600232</c:v>
                </c:pt>
                <c:pt idx="13">
                  <c:v>33.11362989980034</c:v>
                </c:pt>
                <c:pt idx="14">
                  <c:v>33.34291055451352</c:v>
                </c:pt>
                <c:pt idx="15">
                  <c:v>33.55581175759464</c:v>
                </c:pt>
                <c:pt idx="16">
                  <c:v>33.92985719698017</c:v>
                </c:pt>
                <c:pt idx="17">
                  <c:v>34.35475501701292</c:v>
                </c:pt>
                <c:pt idx="18">
                  <c:v>34.6324991299867</c:v>
                </c:pt>
                <c:pt idx="19">
                  <c:v>34.9666368139836</c:v>
                </c:pt>
                <c:pt idx="20">
                  <c:v>35.34427134094123</c:v>
                </c:pt>
                <c:pt idx="21">
                  <c:v>35.70327023442828</c:v>
                </c:pt>
                <c:pt idx="22">
                  <c:v>36.0394389807678</c:v>
                </c:pt>
                <c:pt idx="23">
                  <c:v>36.40573169389584</c:v>
                </c:pt>
                <c:pt idx="24">
                  <c:v>36.7770717831812</c:v>
                </c:pt>
                <c:pt idx="25">
                  <c:v>37.14115409624485</c:v>
                </c:pt>
                <c:pt idx="26">
                  <c:v>37.50877936875736</c:v>
                </c:pt>
                <c:pt idx="27">
                  <c:v>37.8874976182213</c:v>
                </c:pt>
                <c:pt idx="28">
                  <c:v>38.26693537188521</c:v>
                </c:pt>
                <c:pt idx="29">
                  <c:v>38.6478322453911</c:v>
                </c:pt>
                <c:pt idx="30">
                  <c:v>39.0343000952213</c:v>
                </c:pt>
                <c:pt idx="31">
                  <c:v>39.4257154478399</c:v>
                </c:pt>
                <c:pt idx="32">
                  <c:v>39.8195927760555</c:v>
                </c:pt>
                <c:pt idx="33">
                  <c:v>40.21738921907563</c:v>
                </c:pt>
                <c:pt idx="34">
                  <c:v>40.61983122270088</c:v>
                </c:pt>
                <c:pt idx="35">
                  <c:v>41.0261947750488</c:v>
                </c:pt>
                <c:pt idx="36">
                  <c:v>41.43625103172612</c:v>
                </c:pt>
                <c:pt idx="37">
                  <c:v>41.8505957002782</c:v>
                </c:pt>
                <c:pt idx="38">
                  <c:v>42.26920629505447</c:v>
                </c:pt>
                <c:pt idx="39">
                  <c:v>42.69188494182271</c:v>
                </c:pt>
                <c:pt idx="40">
                  <c:v>43.11874833832936</c:v>
                </c:pt>
                <c:pt idx="41">
                  <c:v>43.54996078380174</c:v>
                </c:pt>
                <c:pt idx="42">
                  <c:v>43.98548096736956</c:v>
                </c:pt>
                <c:pt idx="43">
                  <c:v>44.42531819971121</c:v>
                </c:pt>
                <c:pt idx="44">
                  <c:v>44.86956452722204</c:v>
                </c:pt>
                <c:pt idx="45">
                  <c:v>45.31827187800157</c:v>
                </c:pt>
                <c:pt idx="46">
                  <c:v>45.77145462229567</c:v>
                </c:pt>
                <c:pt idx="47">
                  <c:v>46.229163246017</c:v>
                </c:pt>
                <c:pt idx="48">
                  <c:v>46.69145631658796</c:v>
                </c:pt>
                <c:pt idx="49">
                  <c:v>47.1583737242416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492488"/>
        <c:axId val="438495624"/>
      </c:scatterChart>
      <c:valAx>
        <c:axId val="438492488"/>
        <c:scaling>
          <c:orientation val="minMax"/>
          <c:max val="50.0"/>
          <c:min val="0.0"/>
        </c:scaling>
        <c:delete val="0"/>
        <c:axPos val="b"/>
        <c:numFmt formatCode="General" sourceLinked="1"/>
        <c:majorTickMark val="out"/>
        <c:minorTickMark val="none"/>
        <c:tickLblPos val="nextTo"/>
        <c:crossAx val="438495624"/>
        <c:crosses val="autoZero"/>
        <c:crossBetween val="midCat"/>
      </c:valAx>
      <c:valAx>
        <c:axId val="438495624"/>
        <c:scaling>
          <c:orientation val="minMax"/>
          <c:min val="0.05"/>
        </c:scaling>
        <c:delete val="0"/>
        <c:axPos val="l"/>
        <c:numFmt formatCode="#,##0" sourceLinked="0"/>
        <c:majorTickMark val="out"/>
        <c:minorTickMark val="none"/>
        <c:tickLblPos val="nextTo"/>
        <c:crossAx val="438492488"/>
        <c:crosses val="autoZero"/>
        <c:crossBetween val="midCat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07510288065844"/>
          <c:y val="0.195981834507529"/>
          <c:w val="0.581275720164609"/>
          <c:h val="0.0904924713358198"/>
        </c:manualLayout>
      </c:layout>
      <c:overlay val="1"/>
    </c:legend>
    <c:plotVisOnly val="1"/>
    <c:dispBlanksAs val="gap"/>
    <c:showDLblsOverMax val="0"/>
  </c:chart>
  <c:txPr>
    <a:bodyPr/>
    <a:lstStyle/>
    <a:p>
      <a:pPr>
        <a:defRPr>
          <a:latin typeface="CMU Serif Roman"/>
          <a:cs typeface="CMU Serif Roman"/>
        </a:defRPr>
      </a:pPr>
      <a:endParaRPr lang="en-US"/>
    </a:p>
  </c:txPr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Shares Age 0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mpd="sng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Weak!$B$1:$AY$1</c:f>
              <c:numCache>
                <c:formatCode>General</c:formatCode>
                <c:ptCount val="5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</c:numCache>
            </c:numRef>
          </c:xVal>
          <c:yVal>
            <c:numRef>
              <c:f>Weak!$B$23:$AY$23</c:f>
              <c:numCache>
                <c:formatCode>0.00%</c:formatCode>
                <c:ptCount val="50"/>
                <c:pt idx="0">
                  <c:v>0.405025225292416</c:v>
                </c:pt>
                <c:pt idx="1">
                  <c:v>0.828205681105919</c:v>
                </c:pt>
                <c:pt idx="2">
                  <c:v>0.634242750195315</c:v>
                </c:pt>
                <c:pt idx="3">
                  <c:v>0.848922581491395</c:v>
                </c:pt>
                <c:pt idx="4">
                  <c:v>0.562594240885492</c:v>
                </c:pt>
                <c:pt idx="5">
                  <c:v>0.655625072458556</c:v>
                </c:pt>
                <c:pt idx="6">
                  <c:v>0.708551780481927</c:v>
                </c:pt>
                <c:pt idx="7">
                  <c:v>0.597787895466992</c:v>
                </c:pt>
                <c:pt idx="8">
                  <c:v>0.708915814090561</c:v>
                </c:pt>
                <c:pt idx="9">
                  <c:v>0.478518377886619</c:v>
                </c:pt>
                <c:pt idx="10">
                  <c:v>0.794203999541032</c:v>
                </c:pt>
                <c:pt idx="11">
                  <c:v>0.626997445173208</c:v>
                </c:pt>
                <c:pt idx="12">
                  <c:v>0.513904442403952</c:v>
                </c:pt>
                <c:pt idx="13">
                  <c:v>0.564541734176165</c:v>
                </c:pt>
                <c:pt idx="14">
                  <c:v>0.658298673261447</c:v>
                </c:pt>
                <c:pt idx="15">
                  <c:v>0.806979134376805</c:v>
                </c:pt>
                <c:pt idx="16">
                  <c:v>0.702083557906912</c:v>
                </c:pt>
                <c:pt idx="17">
                  <c:v>0.598519626872638</c:v>
                </c:pt>
                <c:pt idx="18">
                  <c:v>0.780382644931605</c:v>
                </c:pt>
                <c:pt idx="19">
                  <c:v>0.932487276005323</c:v>
                </c:pt>
                <c:pt idx="20">
                  <c:v>0.666811358631322</c:v>
                </c:pt>
                <c:pt idx="21">
                  <c:v>0.72832973656838</c:v>
                </c:pt>
                <c:pt idx="22">
                  <c:v>0.607651067082274</c:v>
                </c:pt>
                <c:pt idx="23">
                  <c:v>0.601385093337215</c:v>
                </c:pt>
                <c:pt idx="24">
                  <c:v>0.721432597002081</c:v>
                </c:pt>
                <c:pt idx="25">
                  <c:v>0.698692751437856</c:v>
                </c:pt>
                <c:pt idx="26">
                  <c:v>0.45268924366554</c:v>
                </c:pt>
                <c:pt idx="27">
                  <c:v>0.623102909318391</c:v>
                </c:pt>
                <c:pt idx="28">
                  <c:v>0.387342717386863</c:v>
                </c:pt>
                <c:pt idx="29">
                  <c:v>0.787189740163912</c:v>
                </c:pt>
                <c:pt idx="30">
                  <c:v>0.817287338325092</c:v>
                </c:pt>
                <c:pt idx="31">
                  <c:v>0.963829003219714</c:v>
                </c:pt>
                <c:pt idx="32">
                  <c:v>0.899211486551332</c:v>
                </c:pt>
                <c:pt idx="33">
                  <c:v>0.484126962562692</c:v>
                </c:pt>
                <c:pt idx="34">
                  <c:v>0.632029054807577</c:v>
                </c:pt>
                <c:pt idx="35">
                  <c:v>0.75334272925026</c:v>
                </c:pt>
                <c:pt idx="36">
                  <c:v>0.842965326311361</c:v>
                </c:pt>
                <c:pt idx="37">
                  <c:v>0.383493884715388</c:v>
                </c:pt>
                <c:pt idx="38">
                  <c:v>0.635009094066211</c:v>
                </c:pt>
                <c:pt idx="39">
                  <c:v>0.783401796115985</c:v>
                </c:pt>
                <c:pt idx="40">
                  <c:v>0.398215710644265</c:v>
                </c:pt>
                <c:pt idx="41">
                  <c:v>0.912129745519445</c:v>
                </c:pt>
                <c:pt idx="42">
                  <c:v>0.243868711501994</c:v>
                </c:pt>
                <c:pt idx="43">
                  <c:v>0.9178284795642</c:v>
                </c:pt>
                <c:pt idx="44">
                  <c:v>0.772572029975678</c:v>
                </c:pt>
                <c:pt idx="45">
                  <c:v>0.295918479678974</c:v>
                </c:pt>
                <c:pt idx="46">
                  <c:v>0.603291890406799</c:v>
                </c:pt>
                <c:pt idx="47">
                  <c:v>0.553492955275037</c:v>
                </c:pt>
                <c:pt idx="48">
                  <c:v>0.746241378007794</c:v>
                </c:pt>
                <c:pt idx="49">
                  <c:v>0.713222109647588</c:v>
                </c:pt>
              </c:numCache>
            </c:numRef>
          </c:yVal>
          <c:smooth val="1"/>
        </c:ser>
        <c:ser>
          <c:idx val="1"/>
          <c:order val="1"/>
          <c:spPr>
            <a:ln w="19050" cmpd="sng">
              <a:solidFill>
                <a:srgbClr val="FF8000"/>
              </a:solidFill>
              <a:prstDash val="dash"/>
            </a:ln>
          </c:spPr>
          <c:marker>
            <c:symbol val="none"/>
          </c:marker>
          <c:xVal>
            <c:numRef>
              <c:f>Weak!$B$1:$AY$1</c:f>
              <c:numCache>
                <c:formatCode>General</c:formatCode>
                <c:ptCount val="5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</c:numCache>
            </c:numRef>
          </c:xVal>
          <c:yVal>
            <c:numRef>
              <c:f>Weak!$B$28:$AY$28</c:f>
              <c:numCache>
                <c:formatCode>0.00%</c:formatCode>
                <c:ptCount val="50"/>
                <c:pt idx="0">
                  <c:v>0.077584497661901</c:v>
                </c:pt>
                <c:pt idx="1">
                  <c:v>0.681380013971835</c:v>
                </c:pt>
                <c:pt idx="2">
                  <c:v>0.702576017796293</c:v>
                </c:pt>
                <c:pt idx="3">
                  <c:v>0.870927076131255</c:v>
                </c:pt>
                <c:pt idx="4">
                  <c:v>0.561481822893726</c:v>
                </c:pt>
                <c:pt idx="5">
                  <c:v>0.650430399557521</c:v>
                </c:pt>
                <c:pt idx="6">
                  <c:v>0.709900474359777</c:v>
                </c:pt>
                <c:pt idx="7">
                  <c:v>0.598619573309689</c:v>
                </c:pt>
                <c:pt idx="8">
                  <c:v>0.709214404897929</c:v>
                </c:pt>
                <c:pt idx="9">
                  <c:v>0.478222016907978</c:v>
                </c:pt>
                <c:pt idx="10">
                  <c:v>0.794175746303224</c:v>
                </c:pt>
                <c:pt idx="11">
                  <c:v>0.627030649536193</c:v>
                </c:pt>
                <c:pt idx="12">
                  <c:v>0.513920007578995</c:v>
                </c:pt>
                <c:pt idx="13">
                  <c:v>0.564531576791359</c:v>
                </c:pt>
                <c:pt idx="14">
                  <c:v>0.6582913901051</c:v>
                </c:pt>
                <c:pt idx="15">
                  <c:v>0.806978862418097</c:v>
                </c:pt>
                <c:pt idx="16">
                  <c:v>0.702084349976986</c:v>
                </c:pt>
                <c:pt idx="17">
                  <c:v>0.598519494214646</c:v>
                </c:pt>
                <c:pt idx="18">
                  <c:v>0.780382496766606</c:v>
                </c:pt>
                <c:pt idx="19">
                  <c:v>0.932487223173725</c:v>
                </c:pt>
                <c:pt idx="20">
                  <c:v>0.666811378625739</c:v>
                </c:pt>
                <c:pt idx="21">
                  <c:v>0.728329738033676</c:v>
                </c:pt>
                <c:pt idx="22">
                  <c:v>0.60765106607622</c:v>
                </c:pt>
                <c:pt idx="23">
                  <c:v>0.601385093390448</c:v>
                </c:pt>
                <c:pt idx="24">
                  <c:v>0.721432597065309</c:v>
                </c:pt>
                <c:pt idx="25">
                  <c:v>0.698692751420523</c:v>
                </c:pt>
                <c:pt idx="26">
                  <c:v>0.452689243658175</c:v>
                </c:pt>
                <c:pt idx="27">
                  <c:v>0.623102909318646</c:v>
                </c:pt>
                <c:pt idx="28">
                  <c:v>0.38734271739006</c:v>
                </c:pt>
                <c:pt idx="29">
                  <c:v>0.787189740163796</c:v>
                </c:pt>
                <c:pt idx="30">
                  <c:v>0.817287338324962</c:v>
                </c:pt>
                <c:pt idx="31">
                  <c:v>0.96382900321969</c:v>
                </c:pt>
                <c:pt idx="32">
                  <c:v>0.899211486551337</c:v>
                </c:pt>
                <c:pt idx="33">
                  <c:v>0.484126962562691</c:v>
                </c:pt>
                <c:pt idx="34">
                  <c:v>0.632029054807577</c:v>
                </c:pt>
                <c:pt idx="35">
                  <c:v>0.753342729250259</c:v>
                </c:pt>
                <c:pt idx="36">
                  <c:v>0.842965326311362</c:v>
                </c:pt>
                <c:pt idx="37">
                  <c:v>0.383493884715388</c:v>
                </c:pt>
                <c:pt idx="38">
                  <c:v>0.635009094066211</c:v>
                </c:pt>
                <c:pt idx="39">
                  <c:v>0.783401796115985</c:v>
                </c:pt>
                <c:pt idx="40">
                  <c:v>0.398215710644265</c:v>
                </c:pt>
                <c:pt idx="41">
                  <c:v>0.912129745519445</c:v>
                </c:pt>
                <c:pt idx="42">
                  <c:v>0.243868711501994</c:v>
                </c:pt>
                <c:pt idx="43">
                  <c:v>0.9178284795642</c:v>
                </c:pt>
                <c:pt idx="44">
                  <c:v>0.772572029975678</c:v>
                </c:pt>
                <c:pt idx="45">
                  <c:v>0.295918479678974</c:v>
                </c:pt>
                <c:pt idx="46">
                  <c:v>0.603291890406799</c:v>
                </c:pt>
                <c:pt idx="47">
                  <c:v>0.553492955275037</c:v>
                </c:pt>
                <c:pt idx="48">
                  <c:v>0.746241378007794</c:v>
                </c:pt>
                <c:pt idx="49">
                  <c:v>0.713222109647589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529944"/>
        <c:axId val="438532872"/>
      </c:scatterChart>
      <c:valAx>
        <c:axId val="438529944"/>
        <c:scaling>
          <c:orientation val="minMax"/>
          <c:max val="50.0"/>
          <c:min val="0.0"/>
        </c:scaling>
        <c:delete val="0"/>
        <c:axPos val="b"/>
        <c:numFmt formatCode="General" sourceLinked="1"/>
        <c:majorTickMark val="out"/>
        <c:minorTickMark val="none"/>
        <c:tickLblPos val="nextTo"/>
        <c:crossAx val="438532872"/>
        <c:crosses val="autoZero"/>
        <c:crossBetween val="midCat"/>
      </c:valAx>
      <c:valAx>
        <c:axId val="438532872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crossAx val="438529944"/>
        <c:crosses val="autoZero"/>
        <c:crossBetween val="midCat"/>
      </c:valAx>
      <c:spPr>
        <a:ln>
          <a:solidFill>
            <a:srgbClr val="7F7F7F"/>
          </a:solidFill>
        </a:ln>
      </c:spPr>
    </c:plotArea>
    <c:plotVisOnly val="1"/>
    <c:dispBlanksAs val="gap"/>
    <c:showDLblsOverMax val="0"/>
  </c:chart>
  <c:txPr>
    <a:bodyPr/>
    <a:lstStyle/>
    <a:p>
      <a:pPr>
        <a:defRPr>
          <a:latin typeface="CMU Serif Roman"/>
          <a:cs typeface="CMU Serif Roman"/>
        </a:defRPr>
      </a:pPr>
      <a:endParaRPr lang="en-US"/>
    </a:p>
  </c:txPr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Error Age 0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mpd="sng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Weak!$B$1:$AY$1</c:f>
              <c:numCache>
                <c:formatCode>General</c:formatCode>
                <c:ptCount val="5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</c:numCache>
            </c:numRef>
          </c:xVal>
          <c:yVal>
            <c:numRef>
              <c:f>Weak!$B$34:$AY$34</c:f>
              <c:numCache>
                <c:formatCode>General</c:formatCode>
                <c:ptCount val="50"/>
                <c:pt idx="0">
                  <c:v>0.327440727630515</c:v>
                </c:pt>
                <c:pt idx="1">
                  <c:v>0.146825667134084</c:v>
                </c:pt>
                <c:pt idx="2">
                  <c:v>0.0683332676009779</c:v>
                </c:pt>
                <c:pt idx="3">
                  <c:v>0.0220044946398599</c:v>
                </c:pt>
                <c:pt idx="4">
                  <c:v>0.00111241799176565</c:v>
                </c:pt>
                <c:pt idx="5">
                  <c:v>0.00519467290103503</c:v>
                </c:pt>
                <c:pt idx="6">
                  <c:v>0.00134869387785086</c:v>
                </c:pt>
                <c:pt idx="7">
                  <c:v>0.00083167784269611</c:v>
                </c:pt>
                <c:pt idx="8">
                  <c:v>0.000298590807367383</c:v>
                </c:pt>
                <c:pt idx="9">
                  <c:v>0.000296360978640775</c:v>
                </c:pt>
                <c:pt idx="10">
                  <c:v>2.82532378080846E-5</c:v>
                </c:pt>
                <c:pt idx="11">
                  <c:v>3.32043629845957E-5</c:v>
                </c:pt>
                <c:pt idx="12">
                  <c:v>1.55651750429753E-5</c:v>
                </c:pt>
                <c:pt idx="13">
                  <c:v>1.01573848054759E-5</c:v>
                </c:pt>
                <c:pt idx="14">
                  <c:v>7.28315634690446E-6</c:v>
                </c:pt>
                <c:pt idx="15">
                  <c:v>2.7195870799801E-7</c:v>
                </c:pt>
                <c:pt idx="16">
                  <c:v>7.9207007397386E-7</c:v>
                </c:pt>
                <c:pt idx="17">
                  <c:v>1.32657991258611E-7</c:v>
                </c:pt>
                <c:pt idx="18">
                  <c:v>1.48164998936551E-7</c:v>
                </c:pt>
                <c:pt idx="19">
                  <c:v>5.28315982073479E-8</c:v>
                </c:pt>
                <c:pt idx="20">
                  <c:v>1.99944167889043E-8</c:v>
                </c:pt>
                <c:pt idx="21">
                  <c:v>1.4652957736061E-9</c:v>
                </c:pt>
                <c:pt idx="22">
                  <c:v>1.00605446196056E-9</c:v>
                </c:pt>
                <c:pt idx="23">
                  <c:v>5.32334176739368E-11</c:v>
                </c:pt>
                <c:pt idx="24">
                  <c:v>6.32278673862174E-11</c:v>
                </c:pt>
                <c:pt idx="25">
                  <c:v>1.73335790165652E-11</c:v>
                </c:pt>
                <c:pt idx="26">
                  <c:v>7.36471994500221E-12</c:v>
                </c:pt>
                <c:pt idx="27">
                  <c:v>2.54907206453936E-13</c:v>
                </c:pt>
                <c:pt idx="28">
                  <c:v>3.19633208789583E-12</c:v>
                </c:pt>
                <c:pt idx="29">
                  <c:v>1.15685239165941E-13</c:v>
                </c:pt>
                <c:pt idx="30">
                  <c:v>1.29229960066368E-13</c:v>
                </c:pt>
                <c:pt idx="31">
                  <c:v>2.44249065417534E-14</c:v>
                </c:pt>
                <c:pt idx="32">
                  <c:v>4.77395900588817E-15</c:v>
                </c:pt>
                <c:pt idx="33">
                  <c:v>1.16573417585641E-15</c:v>
                </c:pt>
                <c:pt idx="34">
                  <c:v>5.55111512312578E-16</c:v>
                </c:pt>
                <c:pt idx="35">
                  <c:v>3.33066907387547E-16</c:v>
                </c:pt>
                <c:pt idx="36">
                  <c:v>2.22044604925031E-16</c:v>
                </c:pt>
                <c:pt idx="37">
                  <c:v>2.22044604925031E-16</c:v>
                </c:pt>
                <c:pt idx="38">
                  <c:v>1.11022302462516E-16</c:v>
                </c:pt>
                <c:pt idx="39">
                  <c:v>1.11022302462516E-16</c:v>
                </c:pt>
                <c:pt idx="40">
                  <c:v>1.66533453693773E-16</c:v>
                </c:pt>
                <c:pt idx="41">
                  <c:v>0.0</c:v>
                </c:pt>
                <c:pt idx="42">
                  <c:v>2.77555756156289E-17</c:v>
                </c:pt>
                <c:pt idx="43">
                  <c:v>2.22044604925031E-16</c:v>
                </c:pt>
                <c:pt idx="44">
                  <c:v>1.11022302462516E-16</c:v>
                </c:pt>
                <c:pt idx="45">
                  <c:v>5.55111512312578E-17</c:v>
                </c:pt>
                <c:pt idx="46">
                  <c:v>0.0</c:v>
                </c:pt>
                <c:pt idx="47">
                  <c:v>0.0</c:v>
                </c:pt>
                <c:pt idx="48">
                  <c:v>1.11022302462516E-16</c:v>
                </c:pt>
                <c:pt idx="49">
                  <c:v>2.22044604925031E-16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567144"/>
        <c:axId val="438570136"/>
      </c:scatterChart>
      <c:valAx>
        <c:axId val="438567144"/>
        <c:scaling>
          <c:orientation val="minMax"/>
          <c:max val="50.0"/>
          <c:min val="0.0"/>
        </c:scaling>
        <c:delete val="0"/>
        <c:axPos val="b"/>
        <c:numFmt formatCode="General" sourceLinked="1"/>
        <c:majorTickMark val="out"/>
        <c:minorTickMark val="none"/>
        <c:tickLblPos val="nextTo"/>
        <c:crossAx val="438570136"/>
        <c:crosses val="autoZero"/>
        <c:crossBetween val="midCat"/>
      </c:valAx>
      <c:valAx>
        <c:axId val="438570136"/>
        <c:scaling>
          <c:orientation val="minMax"/>
          <c:min val="0.0"/>
        </c:scaling>
        <c:delete val="0"/>
        <c:axPos val="l"/>
        <c:numFmt formatCode="0%" sourceLinked="0"/>
        <c:majorTickMark val="out"/>
        <c:minorTickMark val="none"/>
        <c:tickLblPos val="nextTo"/>
        <c:crossAx val="438567144"/>
        <c:crosses val="autoZero"/>
        <c:crossBetween val="midCat"/>
      </c:valAx>
      <c:spPr>
        <a:ln>
          <a:solidFill>
            <a:srgbClr val="7F7F7F"/>
          </a:solidFill>
        </a:ln>
      </c:spPr>
    </c:plotArea>
    <c:plotVisOnly val="1"/>
    <c:dispBlanksAs val="gap"/>
    <c:showDLblsOverMax val="0"/>
  </c:chart>
  <c:txPr>
    <a:bodyPr/>
    <a:lstStyle/>
    <a:p>
      <a:pPr>
        <a:defRPr>
          <a:latin typeface="CMU Serif Roman"/>
          <a:cs typeface="CMU Serif Roman"/>
        </a:defRPr>
      </a:pPr>
      <a:endParaRPr lang="en-US"/>
    </a:p>
  </c:txPr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Shares Age 1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mpd="sng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Weak!$B$1:$AY$1</c:f>
              <c:numCache>
                <c:formatCode>General</c:formatCode>
                <c:ptCount val="5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</c:numCache>
            </c:numRef>
          </c:xVal>
          <c:yVal>
            <c:numRef>
              <c:f>Weak!$B$24:$AY$24</c:f>
              <c:numCache>
                <c:formatCode>0.00%</c:formatCode>
                <c:ptCount val="50"/>
                <c:pt idx="0">
                  <c:v>0.330368870133136</c:v>
                </c:pt>
                <c:pt idx="1">
                  <c:v>0.0812353343623813</c:v>
                </c:pt>
                <c:pt idx="2">
                  <c:v>0.350475762564566</c:v>
                </c:pt>
                <c:pt idx="3">
                  <c:v>0.0172043023567793</c:v>
                </c:pt>
                <c:pt idx="4">
                  <c:v>0.380666572583737</c:v>
                </c:pt>
                <c:pt idx="5">
                  <c:v>0.141446370033068</c:v>
                </c:pt>
                <c:pt idx="6">
                  <c:v>0.254419483167566</c:v>
                </c:pt>
                <c:pt idx="7">
                  <c:v>0.235108918674959</c:v>
                </c:pt>
                <c:pt idx="8">
                  <c:v>0.104349733023588</c:v>
                </c:pt>
                <c:pt idx="9">
                  <c:v>0.452542828690431</c:v>
                </c:pt>
                <c:pt idx="10">
                  <c:v>0.0898898064208363</c:v>
                </c:pt>
                <c:pt idx="11">
                  <c:v>0.314434862244295</c:v>
                </c:pt>
                <c:pt idx="12">
                  <c:v>0.269336374007542</c:v>
                </c:pt>
                <c:pt idx="13">
                  <c:v>0.239837592600014</c:v>
                </c:pt>
                <c:pt idx="14">
                  <c:v>0.104384366329483</c:v>
                </c:pt>
                <c:pt idx="15">
                  <c:v>0.0739736638648755</c:v>
                </c:pt>
                <c:pt idx="16">
                  <c:v>0.24504191536628</c:v>
                </c:pt>
                <c:pt idx="17">
                  <c:v>0.265510963312859</c:v>
                </c:pt>
                <c:pt idx="18">
                  <c:v>0.00363617343159179</c:v>
                </c:pt>
                <c:pt idx="19">
                  <c:v>0.0172871646893969</c:v>
                </c:pt>
                <c:pt idx="20">
                  <c:v>0.324834052265502</c:v>
                </c:pt>
                <c:pt idx="21">
                  <c:v>0.1672309818258</c:v>
                </c:pt>
                <c:pt idx="22">
                  <c:v>0.378744846632813</c:v>
                </c:pt>
                <c:pt idx="23">
                  <c:v>0.290930310691201</c:v>
                </c:pt>
                <c:pt idx="24">
                  <c:v>0.11921778801998</c:v>
                </c:pt>
                <c:pt idx="25">
                  <c:v>0.277453762423193</c:v>
                </c:pt>
                <c:pt idx="26">
                  <c:v>0.36115371828462</c:v>
                </c:pt>
                <c:pt idx="27">
                  <c:v>0.184472297393626</c:v>
                </c:pt>
                <c:pt idx="28">
                  <c:v>0.433209871537033</c:v>
                </c:pt>
                <c:pt idx="29">
                  <c:v>0.0778683041209163</c:v>
                </c:pt>
                <c:pt idx="30">
                  <c:v>0.163132371152078</c:v>
                </c:pt>
                <c:pt idx="31">
                  <c:v>0.00726708761988601</c:v>
                </c:pt>
                <c:pt idx="32">
                  <c:v>0.0837316843519218</c:v>
                </c:pt>
                <c:pt idx="33">
                  <c:v>0.468665231804918</c:v>
                </c:pt>
                <c:pt idx="34">
                  <c:v>0.190123127496702</c:v>
                </c:pt>
                <c:pt idx="35">
                  <c:v>0.0474803931046823</c:v>
                </c:pt>
                <c:pt idx="36">
                  <c:v>0.143001809533242</c:v>
                </c:pt>
                <c:pt idx="37">
                  <c:v>0.611486162047746</c:v>
                </c:pt>
                <c:pt idx="38">
                  <c:v>0.211451037321383</c:v>
                </c:pt>
                <c:pt idx="39">
                  <c:v>0.0879279263600426</c:v>
                </c:pt>
                <c:pt idx="40">
                  <c:v>0.539069720190183</c:v>
                </c:pt>
                <c:pt idx="41">
                  <c:v>0.00356298407834109</c:v>
                </c:pt>
                <c:pt idx="42">
                  <c:v>0.703280677358569</c:v>
                </c:pt>
                <c:pt idx="43">
                  <c:v>0.0773869272760393</c:v>
                </c:pt>
                <c:pt idx="44">
                  <c:v>0.22498716376179</c:v>
                </c:pt>
                <c:pt idx="45">
                  <c:v>0.571411078075717</c:v>
                </c:pt>
                <c:pt idx="46">
                  <c:v>0.154718819398564</c:v>
                </c:pt>
                <c:pt idx="47">
                  <c:v>0.351351497756399</c:v>
                </c:pt>
                <c:pt idx="48">
                  <c:v>0.0737244282946488</c:v>
                </c:pt>
                <c:pt idx="49">
                  <c:v>0.179724163773424</c:v>
                </c:pt>
              </c:numCache>
            </c:numRef>
          </c:yVal>
          <c:smooth val="1"/>
        </c:ser>
        <c:ser>
          <c:idx val="1"/>
          <c:order val="1"/>
          <c:spPr>
            <a:ln w="19050" cmpd="sng">
              <a:solidFill>
                <a:srgbClr val="FF8000"/>
              </a:solidFill>
              <a:prstDash val="dash"/>
            </a:ln>
          </c:spPr>
          <c:marker>
            <c:symbol val="none"/>
          </c:marker>
          <c:xVal>
            <c:numRef>
              <c:f>Weak!$B$1:$AY$1</c:f>
              <c:numCache>
                <c:formatCode>General</c:formatCode>
                <c:ptCount val="5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</c:numCache>
            </c:numRef>
          </c:xVal>
          <c:yVal>
            <c:numRef>
              <c:f>Weak!$B$29:$AY$29</c:f>
              <c:numCache>
                <c:formatCode>0.00%</c:formatCode>
                <c:ptCount val="50"/>
                <c:pt idx="0">
                  <c:v>0.199555364563468</c:v>
                </c:pt>
                <c:pt idx="1">
                  <c:v>0.0155610125378034</c:v>
                </c:pt>
                <c:pt idx="2">
                  <c:v>0.288342842171946</c:v>
                </c:pt>
                <c:pt idx="3">
                  <c:v>0.0190578926366397</c:v>
                </c:pt>
                <c:pt idx="4">
                  <c:v>0.390533639073212</c:v>
                </c:pt>
                <c:pt idx="5">
                  <c:v>0.14116668802522</c:v>
                </c:pt>
                <c:pt idx="6">
                  <c:v>0.252403657278312</c:v>
                </c:pt>
                <c:pt idx="7">
                  <c:v>0.235556437075137</c:v>
                </c:pt>
                <c:pt idx="8">
                  <c:v>0.104494910538063</c:v>
                </c:pt>
                <c:pt idx="9">
                  <c:v>0.452733436835857</c:v>
                </c:pt>
                <c:pt idx="10">
                  <c:v>0.0898341349310215</c:v>
                </c:pt>
                <c:pt idx="11">
                  <c:v>0.314423676449532</c:v>
                </c:pt>
                <c:pt idx="12">
                  <c:v>0.269350637451191</c:v>
                </c:pt>
                <c:pt idx="13">
                  <c:v>0.239844856818422</c:v>
                </c:pt>
                <c:pt idx="14">
                  <c:v>0.104382488218242</c:v>
                </c:pt>
                <c:pt idx="15">
                  <c:v>0.0739728454494946</c:v>
                </c:pt>
                <c:pt idx="16">
                  <c:v>0.245041832785108</c:v>
                </c:pt>
                <c:pt idx="17">
                  <c:v>0.265511262854538</c:v>
                </c:pt>
                <c:pt idx="18">
                  <c:v>0.00363617262565755</c:v>
                </c:pt>
                <c:pt idx="19">
                  <c:v>0.0172871614072214</c:v>
                </c:pt>
                <c:pt idx="20">
                  <c:v>0.324834033861495</c:v>
                </c:pt>
                <c:pt idx="21">
                  <c:v>0.16723098684024</c:v>
                </c:pt>
                <c:pt idx="22">
                  <c:v>0.378744847394793</c:v>
                </c:pt>
                <c:pt idx="23">
                  <c:v>0.290930310209524</c:v>
                </c:pt>
                <c:pt idx="24">
                  <c:v>0.119217788030533</c:v>
                </c:pt>
                <c:pt idx="25">
                  <c:v>0.277453762447509</c:v>
                </c:pt>
                <c:pt idx="26">
                  <c:v>0.36115371827566</c:v>
                </c:pt>
                <c:pt idx="27">
                  <c:v>0.184472297390625</c:v>
                </c:pt>
                <c:pt idx="28">
                  <c:v>0.43320987153721</c:v>
                </c:pt>
                <c:pt idx="29">
                  <c:v>0.0778683041215588</c:v>
                </c:pt>
                <c:pt idx="30">
                  <c:v>0.163132371152054</c:v>
                </c:pt>
                <c:pt idx="31">
                  <c:v>0.00726708761988486</c:v>
                </c:pt>
                <c:pt idx="32">
                  <c:v>0.0837316843519197</c:v>
                </c:pt>
                <c:pt idx="33">
                  <c:v>0.46866523180492</c:v>
                </c:pt>
                <c:pt idx="34">
                  <c:v>0.190123127496702</c:v>
                </c:pt>
                <c:pt idx="35">
                  <c:v>0.0474803931046823</c:v>
                </c:pt>
                <c:pt idx="36">
                  <c:v>0.143001809533242</c:v>
                </c:pt>
                <c:pt idx="37">
                  <c:v>0.611486162047747</c:v>
                </c:pt>
                <c:pt idx="38">
                  <c:v>0.211451037321383</c:v>
                </c:pt>
                <c:pt idx="39">
                  <c:v>0.0879279263600426</c:v>
                </c:pt>
                <c:pt idx="40">
                  <c:v>0.539069720190183</c:v>
                </c:pt>
                <c:pt idx="41">
                  <c:v>0.00356298407834109</c:v>
                </c:pt>
                <c:pt idx="42">
                  <c:v>0.703280677358569</c:v>
                </c:pt>
                <c:pt idx="43">
                  <c:v>0.0773869272760393</c:v>
                </c:pt>
                <c:pt idx="44">
                  <c:v>0.22498716376179</c:v>
                </c:pt>
                <c:pt idx="45">
                  <c:v>0.571411078075717</c:v>
                </c:pt>
                <c:pt idx="46">
                  <c:v>0.154718819398564</c:v>
                </c:pt>
                <c:pt idx="47">
                  <c:v>0.351351497756399</c:v>
                </c:pt>
                <c:pt idx="48">
                  <c:v>0.0737244282946488</c:v>
                </c:pt>
                <c:pt idx="49">
                  <c:v>0.179724163773424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603032"/>
        <c:axId val="438605960"/>
      </c:scatterChart>
      <c:valAx>
        <c:axId val="438603032"/>
        <c:scaling>
          <c:orientation val="minMax"/>
          <c:max val="50.0"/>
          <c:min val="0.0"/>
        </c:scaling>
        <c:delete val="0"/>
        <c:axPos val="b"/>
        <c:numFmt formatCode="General" sourceLinked="1"/>
        <c:majorTickMark val="out"/>
        <c:minorTickMark val="none"/>
        <c:tickLblPos val="nextTo"/>
        <c:crossAx val="438605960"/>
        <c:crosses val="autoZero"/>
        <c:crossBetween val="midCat"/>
      </c:valAx>
      <c:valAx>
        <c:axId val="438605960"/>
        <c:scaling>
          <c:orientation val="minMax"/>
          <c:min val="0.0"/>
        </c:scaling>
        <c:delete val="0"/>
        <c:axPos val="l"/>
        <c:numFmt formatCode="0%" sourceLinked="0"/>
        <c:majorTickMark val="out"/>
        <c:minorTickMark val="none"/>
        <c:tickLblPos val="nextTo"/>
        <c:crossAx val="438603032"/>
        <c:crosses val="autoZero"/>
        <c:crossBetween val="midCat"/>
      </c:valAx>
      <c:spPr>
        <a:ln>
          <a:solidFill>
            <a:srgbClr val="7F7F7F"/>
          </a:solidFill>
        </a:ln>
      </c:spPr>
    </c:plotArea>
    <c:plotVisOnly val="1"/>
    <c:dispBlanksAs val="gap"/>
    <c:showDLblsOverMax val="0"/>
  </c:chart>
  <c:txPr>
    <a:bodyPr/>
    <a:lstStyle/>
    <a:p>
      <a:pPr>
        <a:defRPr>
          <a:latin typeface="CMU Serif Roman"/>
          <a:cs typeface="CMU Serif Roman"/>
        </a:defRPr>
      </a:pPr>
      <a:endParaRPr lang="en-US"/>
    </a:p>
  </c:txPr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Error Age 1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mpd="sng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Weak!$B$1:$AY$1</c:f>
              <c:numCache>
                <c:formatCode>General</c:formatCode>
                <c:ptCount val="5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</c:numCache>
            </c:numRef>
          </c:xVal>
          <c:yVal>
            <c:numRef>
              <c:f>Weak!$B$35:$AY$35</c:f>
              <c:numCache>
                <c:formatCode>General</c:formatCode>
                <c:ptCount val="50"/>
                <c:pt idx="0">
                  <c:v>0.130813505569668</c:v>
                </c:pt>
                <c:pt idx="1">
                  <c:v>0.065674321824578</c:v>
                </c:pt>
                <c:pt idx="2">
                  <c:v>0.0621329203926196</c:v>
                </c:pt>
                <c:pt idx="3">
                  <c:v>0.00185359027986036</c:v>
                </c:pt>
                <c:pt idx="4">
                  <c:v>0.00986706648947527</c:v>
                </c:pt>
                <c:pt idx="5">
                  <c:v>0.000279682007848281</c:v>
                </c:pt>
                <c:pt idx="6">
                  <c:v>0.00201582588925381</c:v>
                </c:pt>
                <c:pt idx="7">
                  <c:v>0.000447518400178703</c:v>
                </c:pt>
                <c:pt idx="8">
                  <c:v>0.000145177514474723</c:v>
                </c:pt>
                <c:pt idx="9">
                  <c:v>0.000190608145426041</c:v>
                </c:pt>
                <c:pt idx="10">
                  <c:v>5.56714898147792E-5</c:v>
                </c:pt>
                <c:pt idx="11">
                  <c:v>1.11857947621696E-5</c:v>
                </c:pt>
                <c:pt idx="12">
                  <c:v>1.42634436492983E-5</c:v>
                </c:pt>
                <c:pt idx="13">
                  <c:v>7.26421840843705E-6</c:v>
                </c:pt>
                <c:pt idx="14">
                  <c:v>1.87811124012505E-6</c:v>
                </c:pt>
                <c:pt idx="15">
                  <c:v>8.18415380965387E-7</c:v>
                </c:pt>
                <c:pt idx="16">
                  <c:v>8.25811719840086E-8</c:v>
                </c:pt>
                <c:pt idx="17">
                  <c:v>2.99541679904536E-7</c:v>
                </c:pt>
                <c:pt idx="18">
                  <c:v>8.05934244688111E-10</c:v>
                </c:pt>
                <c:pt idx="19">
                  <c:v>3.28217542380771E-9</c:v>
                </c:pt>
                <c:pt idx="20">
                  <c:v>1.84040068185176E-8</c:v>
                </c:pt>
                <c:pt idx="21">
                  <c:v>5.01444058498279E-9</c:v>
                </c:pt>
                <c:pt idx="22">
                  <c:v>7.61980700758613E-10</c:v>
                </c:pt>
                <c:pt idx="23">
                  <c:v>4.81677364660982E-10</c:v>
                </c:pt>
                <c:pt idx="24">
                  <c:v>1.0552891893667E-11</c:v>
                </c:pt>
                <c:pt idx="25">
                  <c:v>2.431654877455E-11</c:v>
                </c:pt>
                <c:pt idx="26">
                  <c:v>8.95972185332994E-12</c:v>
                </c:pt>
                <c:pt idx="27">
                  <c:v>3.00118263574234E-12</c:v>
                </c:pt>
                <c:pt idx="28">
                  <c:v>1.77136083578944E-13</c:v>
                </c:pt>
                <c:pt idx="29">
                  <c:v>6.42555453289617E-13</c:v>
                </c:pt>
                <c:pt idx="30">
                  <c:v>2.39530617562877E-14</c:v>
                </c:pt>
                <c:pt idx="31">
                  <c:v>1.14925430283463E-15</c:v>
                </c:pt>
                <c:pt idx="32">
                  <c:v>2.1094237467878E-15</c:v>
                </c:pt>
                <c:pt idx="33">
                  <c:v>2.4980018054066E-15</c:v>
                </c:pt>
                <c:pt idx="34">
                  <c:v>4.71844785465691E-16</c:v>
                </c:pt>
                <c:pt idx="35">
                  <c:v>3.46944695195361E-17</c:v>
                </c:pt>
                <c:pt idx="36">
                  <c:v>5.55111512312578E-17</c:v>
                </c:pt>
                <c:pt idx="37">
                  <c:v>1.11022302462516E-16</c:v>
                </c:pt>
                <c:pt idx="38">
                  <c:v>8.32667268468867E-17</c:v>
                </c:pt>
                <c:pt idx="39">
                  <c:v>0.0</c:v>
                </c:pt>
                <c:pt idx="40">
                  <c:v>0.0</c:v>
                </c:pt>
                <c:pt idx="41">
                  <c:v>4.33680868994202E-19</c:v>
                </c:pt>
                <c:pt idx="42">
                  <c:v>1.11022302462516E-16</c:v>
                </c:pt>
                <c:pt idx="43">
                  <c:v>2.77555756156289E-17</c:v>
                </c:pt>
                <c:pt idx="44">
                  <c:v>2.77555756156289E-17</c:v>
                </c:pt>
                <c:pt idx="45">
                  <c:v>0.0</c:v>
                </c:pt>
                <c:pt idx="46">
                  <c:v>2.77555756156289E-17</c:v>
                </c:pt>
                <c:pt idx="47">
                  <c:v>5.55111512312578E-17</c:v>
                </c:pt>
                <c:pt idx="48">
                  <c:v>1.38777878078145E-17</c:v>
                </c:pt>
                <c:pt idx="49">
                  <c:v>0.0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632424"/>
        <c:axId val="438635416"/>
      </c:scatterChart>
      <c:valAx>
        <c:axId val="438632424"/>
        <c:scaling>
          <c:orientation val="minMax"/>
          <c:max val="50.0"/>
          <c:min val="0.0"/>
        </c:scaling>
        <c:delete val="0"/>
        <c:axPos val="b"/>
        <c:numFmt formatCode="General" sourceLinked="1"/>
        <c:majorTickMark val="out"/>
        <c:minorTickMark val="none"/>
        <c:tickLblPos val="nextTo"/>
        <c:crossAx val="438635416"/>
        <c:crosses val="autoZero"/>
        <c:crossBetween val="midCat"/>
      </c:valAx>
      <c:valAx>
        <c:axId val="438635416"/>
        <c:scaling>
          <c:orientation val="minMax"/>
          <c:min val="0.0"/>
        </c:scaling>
        <c:delete val="0"/>
        <c:axPos val="l"/>
        <c:numFmt formatCode="0%" sourceLinked="0"/>
        <c:majorTickMark val="out"/>
        <c:minorTickMark val="none"/>
        <c:tickLblPos val="nextTo"/>
        <c:crossAx val="438632424"/>
        <c:crosses val="autoZero"/>
        <c:crossBetween val="midCat"/>
      </c:valAx>
      <c:spPr>
        <a:ln>
          <a:solidFill>
            <a:srgbClr val="7F7F7F"/>
          </a:solidFill>
        </a:ln>
      </c:spPr>
    </c:plotArea>
    <c:plotVisOnly val="1"/>
    <c:dispBlanksAs val="gap"/>
    <c:showDLblsOverMax val="0"/>
  </c:chart>
  <c:txPr>
    <a:bodyPr/>
    <a:lstStyle/>
    <a:p>
      <a:pPr>
        <a:defRPr>
          <a:latin typeface="CMU Serif Roman"/>
          <a:cs typeface="CMU Serif Roman"/>
        </a:defRPr>
      </a:pPr>
      <a:endParaRPr lang="en-US"/>
    </a:p>
  </c:txPr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0</xdr:colOff>
      <xdr:row>17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7</xdr:col>
      <xdr:colOff>0</xdr:colOff>
      <xdr:row>35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7</xdr:col>
      <xdr:colOff>0</xdr:colOff>
      <xdr:row>51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14</xdr:col>
      <xdr:colOff>0</xdr:colOff>
      <xdr:row>51</xdr:row>
      <xdr:rowOff>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2"/>
  <sheetViews>
    <sheetView tabSelected="1" workbookViewId="0">
      <selection activeCell="A5" sqref="A5"/>
    </sheetView>
  </sheetViews>
  <sheetFormatPr baseColWidth="10" defaultRowHeight="17" x14ac:dyDescent="0"/>
  <cols>
    <col min="1" max="1" width="2.33203125" style="1" customWidth="1"/>
    <col min="2" max="2" width="17.33203125" style="1" bestFit="1" customWidth="1"/>
    <col min="3" max="16384" width="10.83203125" style="1"/>
  </cols>
  <sheetData>
    <row r="2" spans="2:8">
      <c r="B2" s="31" t="s">
        <v>4</v>
      </c>
      <c r="C2" s="30">
        <v>0.01</v>
      </c>
    </row>
    <row r="3" spans="2:8">
      <c r="B3" s="2" t="s">
        <v>5</v>
      </c>
      <c r="C3" s="3">
        <f>1+C2</f>
        <v>1.01</v>
      </c>
    </row>
    <row r="5" spans="2:8">
      <c r="B5" s="2" t="s">
        <v>6</v>
      </c>
      <c r="C5" s="24">
        <v>0.95</v>
      </c>
    </row>
    <row r="6" spans="2:8">
      <c r="B6" s="2" t="s">
        <v>7</v>
      </c>
      <c r="C6" s="24">
        <v>0.75</v>
      </c>
    </row>
    <row r="7" spans="2:8">
      <c r="B7" s="2" t="s">
        <v>8</v>
      </c>
      <c r="C7" s="24">
        <v>0.5</v>
      </c>
    </row>
    <row r="8" spans="2:8">
      <c r="B8" s="2" t="s">
        <v>9</v>
      </c>
      <c r="C8" s="24">
        <v>0</v>
      </c>
    </row>
    <row r="10" spans="2:8">
      <c r="B10" s="2" t="s">
        <v>10</v>
      </c>
      <c r="C10" s="25">
        <v>100</v>
      </c>
      <c r="H10" s="34"/>
    </row>
    <row r="11" spans="2:8">
      <c r="B11" s="2" t="s">
        <v>11</v>
      </c>
      <c r="C11" s="25">
        <v>75</v>
      </c>
    </row>
    <row r="12" spans="2:8">
      <c r="B12" s="2" t="s">
        <v>12</v>
      </c>
      <c r="C12" s="25">
        <v>50</v>
      </c>
    </row>
    <row r="13" spans="2:8">
      <c r="B13" s="2" t="s">
        <v>13</v>
      </c>
      <c r="C13" s="25">
        <v>25</v>
      </c>
    </row>
    <row r="15" spans="2:8">
      <c r="B15" s="2" t="s">
        <v>26</v>
      </c>
      <c r="C15" s="28">
        <v>1</v>
      </c>
    </row>
    <row r="16" spans="2:8">
      <c r="B16" s="2" t="s">
        <v>27</v>
      </c>
      <c r="C16" s="28">
        <f>C15*C5</f>
        <v>0.95</v>
      </c>
    </row>
    <row r="17" spans="2:4">
      <c r="B17" s="2" t="s">
        <v>28</v>
      </c>
      <c r="C17" s="28">
        <f>C16*C6</f>
        <v>0.71249999999999991</v>
      </c>
      <c r="D17" s="26"/>
    </row>
    <row r="18" spans="2:4">
      <c r="B18" s="2" t="s">
        <v>29</v>
      </c>
      <c r="C18" s="28">
        <f>C17*C7</f>
        <v>0.35624999999999996</v>
      </c>
      <c r="D18" s="27"/>
    </row>
    <row r="20" spans="2:4">
      <c r="B20" s="2" t="s">
        <v>22</v>
      </c>
      <c r="C20" s="28">
        <f>C15/C$3^0</f>
        <v>1</v>
      </c>
    </row>
    <row r="21" spans="2:4">
      <c r="B21" s="2" t="s">
        <v>23</v>
      </c>
      <c r="C21" s="28">
        <f>C16/C$3^1</f>
        <v>0.94059405940594054</v>
      </c>
    </row>
    <row r="22" spans="2:4">
      <c r="B22" s="2" t="s">
        <v>24</v>
      </c>
      <c r="C22" s="28">
        <f>C17/C$3^2</f>
        <v>0.69846093520243102</v>
      </c>
    </row>
    <row r="23" spans="2:4">
      <c r="B23" s="2" t="s">
        <v>25</v>
      </c>
      <c r="C23" s="28">
        <f>C18/C$3^3</f>
        <v>0.34577274019922333</v>
      </c>
    </row>
    <row r="25" spans="2:4">
      <c r="B25" s="2" t="s">
        <v>30</v>
      </c>
      <c r="C25" s="29">
        <f>1/SUM(C20:C23)</f>
        <v>0.33502770975305918</v>
      </c>
    </row>
    <row r="26" spans="2:4">
      <c r="B26" s="2" t="s">
        <v>31</v>
      </c>
      <c r="C26" s="29">
        <f>(C16/C$3^1)*C$25</f>
        <v>0.31512507353010516</v>
      </c>
    </row>
    <row r="27" spans="2:4">
      <c r="B27" s="2" t="s">
        <v>32</v>
      </c>
      <c r="C27" s="29">
        <f>(C17/C$3^2)*C$25</f>
        <v>0.23400376747285034</v>
      </c>
    </row>
    <row r="28" spans="2:4">
      <c r="B28" s="2" t="s">
        <v>33</v>
      </c>
      <c r="C28" s="29">
        <f>(C18/C$3^3)*C$25</f>
        <v>0.11584344924398533</v>
      </c>
    </row>
    <row r="30" spans="2:4">
      <c r="B30" s="32" t="s">
        <v>34</v>
      </c>
      <c r="C30" s="29">
        <f>(C25+C28)/(C26+C27)</f>
        <v>0.82106625136197819</v>
      </c>
    </row>
    <row r="32" spans="2:4">
      <c r="C32" s="3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102"/>
  <sheetViews>
    <sheetView zoomScale="125" zoomScaleNormal="125" zoomScalePageLayoutView="125" workbookViewId="0">
      <pane xSplit="1" ySplit="1" topLeftCell="AO2" activePane="bottomRight" state="frozen"/>
      <selection pane="topRight" activeCell="C1" sqref="C1"/>
      <selection pane="bottomLeft" activeCell="A3" sqref="A3"/>
      <selection pane="bottomRight" activeCell="AV15" sqref="AV15"/>
    </sheetView>
  </sheetViews>
  <sheetFormatPr baseColWidth="10" defaultRowHeight="14" x14ac:dyDescent="0"/>
  <cols>
    <col min="1" max="51" width="11" style="6" bestFit="1" customWidth="1"/>
    <col min="52" max="52" width="2.33203125" style="6" customWidth="1"/>
    <col min="53" max="100" width="13.33203125" style="6" bestFit="1" customWidth="1"/>
    <col min="101" max="102" width="10.83203125" style="6"/>
    <col min="103" max="105" width="16" style="6" bestFit="1" customWidth="1"/>
    <col min="106" max="106" width="15.1640625" style="6" bestFit="1" customWidth="1"/>
    <col min="107" max="108" width="10.83203125" style="6"/>
    <col min="109" max="112" width="15.1640625" style="6" bestFit="1" customWidth="1"/>
    <col min="113" max="16384" width="10.83203125" style="6"/>
  </cols>
  <sheetData>
    <row r="1" spans="1:112" ht="15">
      <c r="A1" s="5"/>
      <c r="B1" s="14">
        <v>0</v>
      </c>
      <c r="C1" s="14">
        <f>B1+1</f>
        <v>1</v>
      </c>
      <c r="D1" s="14">
        <f t="shared" ref="D1:AY1" si="0">C1+1</f>
        <v>2</v>
      </c>
      <c r="E1" s="14">
        <f t="shared" si="0"/>
        <v>3</v>
      </c>
      <c r="F1" s="14">
        <f t="shared" si="0"/>
        <v>4</v>
      </c>
      <c r="G1" s="14">
        <f t="shared" si="0"/>
        <v>5</v>
      </c>
      <c r="H1" s="14">
        <f t="shared" si="0"/>
        <v>6</v>
      </c>
      <c r="I1" s="14">
        <f t="shared" si="0"/>
        <v>7</v>
      </c>
      <c r="J1" s="14">
        <f t="shared" si="0"/>
        <v>8</v>
      </c>
      <c r="K1" s="14">
        <f t="shared" si="0"/>
        <v>9</v>
      </c>
      <c r="L1" s="14">
        <f t="shared" si="0"/>
        <v>10</v>
      </c>
      <c r="M1" s="14">
        <f t="shared" si="0"/>
        <v>11</v>
      </c>
      <c r="N1" s="14">
        <f t="shared" si="0"/>
        <v>12</v>
      </c>
      <c r="O1" s="14">
        <f t="shared" si="0"/>
        <v>13</v>
      </c>
      <c r="P1" s="14">
        <f t="shared" si="0"/>
        <v>14</v>
      </c>
      <c r="Q1" s="14">
        <f t="shared" si="0"/>
        <v>15</v>
      </c>
      <c r="R1" s="14">
        <f t="shared" si="0"/>
        <v>16</v>
      </c>
      <c r="S1" s="14">
        <f t="shared" si="0"/>
        <v>17</v>
      </c>
      <c r="T1" s="14">
        <f t="shared" si="0"/>
        <v>18</v>
      </c>
      <c r="U1" s="14">
        <f t="shared" si="0"/>
        <v>19</v>
      </c>
      <c r="V1" s="14">
        <f t="shared" si="0"/>
        <v>20</v>
      </c>
      <c r="W1" s="14">
        <f t="shared" si="0"/>
        <v>21</v>
      </c>
      <c r="X1" s="14">
        <f t="shared" si="0"/>
        <v>22</v>
      </c>
      <c r="Y1" s="14">
        <f t="shared" si="0"/>
        <v>23</v>
      </c>
      <c r="Z1" s="14">
        <f t="shared" si="0"/>
        <v>24</v>
      </c>
      <c r="AA1" s="14">
        <f t="shared" si="0"/>
        <v>25</v>
      </c>
      <c r="AB1" s="14">
        <f t="shared" si="0"/>
        <v>26</v>
      </c>
      <c r="AC1" s="14">
        <f t="shared" si="0"/>
        <v>27</v>
      </c>
      <c r="AD1" s="14">
        <f t="shared" si="0"/>
        <v>28</v>
      </c>
      <c r="AE1" s="14">
        <f t="shared" si="0"/>
        <v>29</v>
      </c>
      <c r="AF1" s="14">
        <f t="shared" si="0"/>
        <v>30</v>
      </c>
      <c r="AG1" s="14">
        <f t="shared" si="0"/>
        <v>31</v>
      </c>
      <c r="AH1" s="14">
        <f t="shared" si="0"/>
        <v>32</v>
      </c>
      <c r="AI1" s="14">
        <f t="shared" si="0"/>
        <v>33</v>
      </c>
      <c r="AJ1" s="14">
        <f t="shared" si="0"/>
        <v>34</v>
      </c>
      <c r="AK1" s="14">
        <f t="shared" si="0"/>
        <v>35</v>
      </c>
      <c r="AL1" s="14">
        <f t="shared" si="0"/>
        <v>36</v>
      </c>
      <c r="AM1" s="14">
        <f t="shared" si="0"/>
        <v>37</v>
      </c>
      <c r="AN1" s="14">
        <f t="shared" si="0"/>
        <v>38</v>
      </c>
      <c r="AO1" s="14">
        <f t="shared" si="0"/>
        <v>39</v>
      </c>
      <c r="AP1" s="14">
        <f t="shared" si="0"/>
        <v>40</v>
      </c>
      <c r="AQ1" s="14">
        <f t="shared" si="0"/>
        <v>41</v>
      </c>
      <c r="AR1" s="14">
        <f t="shared" si="0"/>
        <v>42</v>
      </c>
      <c r="AS1" s="14">
        <f t="shared" si="0"/>
        <v>43</v>
      </c>
      <c r="AT1" s="14">
        <f t="shared" si="0"/>
        <v>44</v>
      </c>
      <c r="AU1" s="14">
        <f t="shared" si="0"/>
        <v>45</v>
      </c>
      <c r="AV1" s="14">
        <f t="shared" si="0"/>
        <v>46</v>
      </c>
      <c r="AW1" s="14">
        <f t="shared" si="0"/>
        <v>47</v>
      </c>
      <c r="AX1" s="14">
        <f t="shared" si="0"/>
        <v>48</v>
      </c>
      <c r="AY1" s="14">
        <f t="shared" si="0"/>
        <v>49</v>
      </c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</row>
    <row r="2" spans="1:112" ht="15">
      <c r="A2" s="15" t="s">
        <v>20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Y2" s="18"/>
      <c r="CZ2" s="18"/>
      <c r="DA2" s="18"/>
      <c r="DB2" s="18"/>
      <c r="DE2" s="18"/>
      <c r="DF2" s="18"/>
      <c r="DG2" s="18"/>
      <c r="DH2" s="18"/>
    </row>
    <row r="3" spans="1:112">
      <c r="A3" s="5">
        <v>0</v>
      </c>
      <c r="B3" s="7">
        <f>Params!C10</f>
        <v>100</v>
      </c>
      <c r="C3" s="10">
        <f>SUM(B3:B6)*Params!$C$3-SUM(C4:C6)</f>
        <v>76.25</v>
      </c>
      <c r="D3" s="10">
        <f>SUM(C3:C6)*Params!$C$3-SUM(D4:D6)</f>
        <v>83.212500000000006</v>
      </c>
      <c r="E3" s="10">
        <f>SUM(D3:D6)*Params!$C$3-SUM(E4:E6)</f>
        <v>88.570249999999987</v>
      </c>
      <c r="F3" s="10">
        <f>SUM(E3:E6)*Params!$C$3-SUM(F4:F6)</f>
        <v>89.556296250000003</v>
      </c>
      <c r="G3" s="10">
        <f>SUM(F3:F6)*Params!$C$3-SUM(G4:G6)</f>
        <v>84.923274837500003</v>
      </c>
      <c r="H3" s="10">
        <f>SUM(G3:G6)*Params!$C$3-SUM(H4:H6)</f>
        <v>89.34091391399997</v>
      </c>
      <c r="I3" s="10">
        <f>SUM(H3:H6)*Params!$C$3-SUM(I4:I6)</f>
        <v>90.74770594767125</v>
      </c>
      <c r="J3" s="10">
        <f>SUM(I3:I6)*Params!$C$3-SUM(J4:J6)</f>
        <v>90.594537932147944</v>
      </c>
      <c r="K3" s="10">
        <f>SUM(J3:J6)*Params!$C$3-SUM(K4:K6)</f>
        <v>90.871066065971434</v>
      </c>
      <c r="L3" s="10">
        <f>SUM(K3:K6)*Params!$C$3-SUM(L4:L6)</f>
        <v>92.950540069614988</v>
      </c>
      <c r="M3" s="10">
        <f>SUM(L3:L6)*Params!$C$3-SUM(M4:M6)</f>
        <v>93.594134889862517</v>
      </c>
      <c r="N3" s="10">
        <f>SUM(M3:M6)*Params!$C$3-SUM(N4:N6)</f>
        <v>94.191752302020035</v>
      </c>
      <c r="O3" s="10">
        <f>SUM(N3:N6)*Params!$C$3-SUM(O4:O6)</f>
        <v>95.241704412575928</v>
      </c>
      <c r="P3" s="10">
        <f>SUM(O3:O6)*Params!$C$3-SUM(P4:P6)</f>
        <v>96.43440004775556</v>
      </c>
      <c r="Q3" s="10">
        <f>SUM(P3:P6)*Params!$C$3-SUM(Q4:Q6)</f>
        <v>97.214032645576708</v>
      </c>
      <c r="R3" s="10">
        <f>SUM(Q3:Q6)*Params!$C$3-SUM(R4:R6)</f>
        <v>98.151962986620617</v>
      </c>
      <c r="S3" s="10">
        <f>SUM(R3:R6)*Params!$C$3-SUM(S4:S6)</f>
        <v>99.21198972895786</v>
      </c>
      <c r="T3" s="10">
        <f>SUM(S3:S6)*Params!$C$3-SUM(T4:T6)</f>
        <v>100.21970592120221</v>
      </c>
      <c r="U3" s="10">
        <f>SUM(T3:T6)*Params!$C$3-SUM(U4:U6)</f>
        <v>101.16333748987455</v>
      </c>
      <c r="V3" s="10">
        <f>SUM(U3:U6)*Params!$C$3-SUM(V4:V6)</f>
        <v>102.1915275618129</v>
      </c>
      <c r="W3" s="10">
        <f>SUM(V3:V6)*Params!$C$3-SUM(W4:W6)</f>
        <v>103.23388570717529</v>
      </c>
      <c r="X3" s="10">
        <f>SUM(W3:W6)*Params!$C$3-SUM(X4:X6)</f>
        <v>104.25587114735399</v>
      </c>
      <c r="Y3" s="10">
        <f>SUM(X3:X6)*Params!$C$3-SUM(Y4:Y6)</f>
        <v>105.28780173686278</v>
      </c>
      <c r="Z3" s="10">
        <f>SUM(Y3:Y6)*Params!$C$3-SUM(Z4:Z6)</f>
        <v>106.35087050728788</v>
      </c>
      <c r="AA3" s="10">
        <f>SUM(Z3:Z6)*Params!$C$3-SUM(AA4:AA6)</f>
        <v>107.41595893862518</v>
      </c>
      <c r="AB3" s="10">
        <f>SUM(AA3:AA6)*Params!$C$3-SUM(AB4:AB6)</f>
        <v>108.48514314495748</v>
      </c>
      <c r="AC3" s="10">
        <f>SUM(AB3:AB6)*Params!$C$3-SUM(AC4:AC6)</f>
        <v>109.56996517956856</v>
      </c>
      <c r="AD3" s="10">
        <f>SUM(AC3:AC6)*Params!$C$3-SUM(AD4:AD6)</f>
        <v>110.66867494130503</v>
      </c>
      <c r="AE3" s="10">
        <f>SUM(AD3:AD6)*Params!$C$3-SUM(AE4:AE6)</f>
        <v>111.77429551173472</v>
      </c>
      <c r="AF3" s="10">
        <f>SUM(AE3:AE6)*Params!$C$3-SUM(AF4:AF6)</f>
        <v>112.8909171061772</v>
      </c>
      <c r="AG3" s="10">
        <f>SUM(AF3:AF6)*Params!$C$3-SUM(AG4:AG6)</f>
        <v>114.02057887073931</v>
      </c>
      <c r="AH3" s="10">
        <f>SUM(AG3:AG6)*Params!$C$3-SUM(AH4:AH6)</f>
        <v>115.16124849136506</v>
      </c>
      <c r="AI3" s="10">
        <f>SUM(AH3:AH6)*Params!$C$3-SUM(AI4:AI6)</f>
        <v>116.31228359782773</v>
      </c>
      <c r="AJ3" s="10">
        <f>SUM(AI3:AI6)*Params!$C$3-SUM(AJ4:AJ6)</f>
        <v>117.47535635165809</v>
      </c>
      <c r="AK3" s="10">
        <f>SUM(AJ3:AJ6)*Params!$C$3-SUM(AK4:AK6)</f>
        <v>118.65040363524065</v>
      </c>
      <c r="AL3" s="10">
        <f>SUM(AK3:AK6)*Params!$C$3-SUM(AL4:AL6)</f>
        <v>119.83687001213391</v>
      </c>
      <c r="AM3" s="10">
        <f>SUM(AL3:AL6)*Params!$C$3-SUM(AM4:AM6)</f>
        <v>121.03508305495961</v>
      </c>
      <c r="AN3" s="10">
        <f>SUM(AM3:AM6)*Params!$C$3-SUM(AN4:AN6)</f>
        <v>122.24550395453122</v>
      </c>
      <c r="AO3" s="10">
        <f>SUM(AN3:AN6)*Params!$C$3-SUM(AO4:AO6)</f>
        <v>123.46801675051105</v>
      </c>
      <c r="AP3" s="10">
        <f>SUM(AO3:AO6)*Params!$C$3-SUM(AP4:AP6)</f>
        <v>124.70264757813675</v>
      </c>
      <c r="AQ3" s="10">
        <f>SUM(AP3:AP6)*Params!$C$3-SUM(AQ4:AQ6)</f>
        <v>125.94965481325485</v>
      </c>
      <c r="AR3" s="10">
        <f>SUM(AQ3:AQ6)*Params!$C$3-SUM(AR4:AR6)</f>
        <v>127.20918421895178</v>
      </c>
      <c r="AS3" s="10">
        <f>SUM(AR3:AR6)*Params!$C$3-SUM(AS4:AS6)</f>
        <v>128.48127613275977</v>
      </c>
      <c r="AT3" s="10">
        <f>SUM(AS3:AS6)*Params!$C$3-SUM(AT4:AT6)</f>
        <v>129.76607226952143</v>
      </c>
      <c r="AU3" s="10">
        <f>SUM(AT3:AT6)*Params!$C$3-SUM(AU4:AU6)</f>
        <v>131.06373702901885</v>
      </c>
      <c r="AV3" s="10">
        <f>SUM(AU3:AU6)*Params!$C$3-SUM(AV4:AV6)</f>
        <v>132.37438238383606</v>
      </c>
      <c r="AW3" s="10">
        <f>SUM(AV3:AV6)*Params!$C$3-SUM(AW4:AW6)</f>
        <v>133.69812166865381</v>
      </c>
      <c r="AX3" s="10">
        <f>SUM(AW3:AW6)*Params!$C$3-SUM(AX4:AX6)</f>
        <v>135.03510007032367</v>
      </c>
      <c r="AY3" s="10">
        <f>SUM(AX3:AX6)*Params!$C$3-SUM(AY4:AY6)</f>
        <v>136.38545413485724</v>
      </c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Y3" s="18"/>
      <c r="CZ3" s="18"/>
      <c r="DA3" s="18"/>
      <c r="DB3" s="18"/>
      <c r="DE3" s="18"/>
      <c r="DF3" s="18"/>
      <c r="DG3" s="18"/>
      <c r="DH3" s="18"/>
    </row>
    <row r="4" spans="1:112">
      <c r="A4" s="5">
        <f>A3+1</f>
        <v>1</v>
      </c>
      <c r="B4" s="7">
        <f>Params!C11</f>
        <v>75</v>
      </c>
      <c r="C4" s="10">
        <f>B3*Params!$C5</f>
        <v>95</v>
      </c>
      <c r="D4" s="10">
        <f>C3*Params!$C5</f>
        <v>72.4375</v>
      </c>
      <c r="E4" s="10">
        <f>D3*Params!$C5</f>
        <v>79.051874999999995</v>
      </c>
      <c r="F4" s="10">
        <f>E3*Params!$C5</f>
        <v>84.141737499999991</v>
      </c>
      <c r="G4" s="10">
        <f>F3*Params!$C5</f>
        <v>85.078481437500002</v>
      </c>
      <c r="H4" s="10">
        <f>G3*Params!$C5</f>
        <v>80.677111095624994</v>
      </c>
      <c r="I4" s="10">
        <f>H3*Params!$C5</f>
        <v>84.873868218299961</v>
      </c>
      <c r="J4" s="10">
        <f>I3*Params!$C5</f>
        <v>86.210320650287684</v>
      </c>
      <c r="K4" s="10">
        <f>J3*Params!$C5</f>
        <v>86.064811035540544</v>
      </c>
      <c r="L4" s="10">
        <f>K3*Params!$C5</f>
        <v>86.327512762672853</v>
      </c>
      <c r="M4" s="10">
        <f>L3*Params!$C5</f>
        <v>88.303013066134241</v>
      </c>
      <c r="N4" s="10">
        <f>M3*Params!$C5</f>
        <v>88.914428145369385</v>
      </c>
      <c r="O4" s="10">
        <f>N3*Params!$C5</f>
        <v>89.482164686919035</v>
      </c>
      <c r="P4" s="10">
        <f>O3*Params!$C5</f>
        <v>90.479619191947123</v>
      </c>
      <c r="Q4" s="10">
        <f>P3*Params!$C5</f>
        <v>91.612680045367782</v>
      </c>
      <c r="R4" s="10">
        <f>Q3*Params!$C5</f>
        <v>92.353331013297861</v>
      </c>
      <c r="S4" s="10">
        <f>R3*Params!$C5</f>
        <v>93.244364837289581</v>
      </c>
      <c r="T4" s="10">
        <f>S3*Params!$C5</f>
        <v>94.251390242509956</v>
      </c>
      <c r="U4" s="10">
        <f>T3*Params!$C5</f>
        <v>95.208720625142092</v>
      </c>
      <c r="V4" s="10">
        <f>U3*Params!$C5</f>
        <v>96.105170615380814</v>
      </c>
      <c r="W4" s="10">
        <f>V3*Params!$C5</f>
        <v>97.081951183722254</v>
      </c>
      <c r="X4" s="10">
        <f>W3*Params!$C5</f>
        <v>98.072191421816527</v>
      </c>
      <c r="Y4" s="10">
        <f>X3*Params!$C5</f>
        <v>99.043077589986282</v>
      </c>
      <c r="Z4" s="10">
        <f>Y3*Params!$C5</f>
        <v>100.02341165001963</v>
      </c>
      <c r="AA4" s="10">
        <f>Z3*Params!$C5</f>
        <v>101.03332698192348</v>
      </c>
      <c r="AB4" s="10">
        <f>AA3*Params!$C5</f>
        <v>102.04516099169392</v>
      </c>
      <c r="AC4" s="10">
        <f>AB3*Params!$C5</f>
        <v>103.0608859877096</v>
      </c>
      <c r="AD4" s="10">
        <f>AC3*Params!$C5</f>
        <v>104.09146692059012</v>
      </c>
      <c r="AE4" s="10">
        <f>AD3*Params!$C5</f>
        <v>105.13524119423977</v>
      </c>
      <c r="AF4" s="10">
        <f>AE3*Params!$C5</f>
        <v>106.18558073614798</v>
      </c>
      <c r="AG4" s="10">
        <f>AF3*Params!$C5</f>
        <v>107.24637125086834</v>
      </c>
      <c r="AH4" s="10">
        <f>AG3*Params!$C5</f>
        <v>108.31954992720235</v>
      </c>
      <c r="AI4" s="10">
        <f>AH3*Params!$C5</f>
        <v>109.40318606679681</v>
      </c>
      <c r="AJ4" s="10">
        <f>AI3*Params!$C5</f>
        <v>110.49666941793633</v>
      </c>
      <c r="AK4" s="10">
        <f>AJ3*Params!$C5</f>
        <v>111.60158853407518</v>
      </c>
      <c r="AL4" s="10">
        <f>AK3*Params!$C5</f>
        <v>112.71788345347861</v>
      </c>
      <c r="AM4" s="10">
        <f>AL3*Params!$C5</f>
        <v>113.84502651152721</v>
      </c>
      <c r="AN4" s="10">
        <f>AM3*Params!$C5</f>
        <v>114.98332890221162</v>
      </c>
      <c r="AO4" s="10">
        <f>AN3*Params!$C5</f>
        <v>116.13322875680466</v>
      </c>
      <c r="AP4" s="10">
        <f>AO3*Params!$C5</f>
        <v>117.29461591298549</v>
      </c>
      <c r="AQ4" s="10">
        <f>AP3*Params!$C5</f>
        <v>118.46751519922991</v>
      </c>
      <c r="AR4" s="10">
        <f>AQ3*Params!$C5</f>
        <v>119.65217207259211</v>
      </c>
      <c r="AS4" s="10">
        <f>AR3*Params!$C5</f>
        <v>120.84872500800418</v>
      </c>
      <c r="AT4" s="10">
        <f>AS3*Params!$C5</f>
        <v>122.05721232612179</v>
      </c>
      <c r="AU4" s="10">
        <f>AT3*Params!$C5</f>
        <v>123.27776865604535</v>
      </c>
      <c r="AV4" s="10">
        <f>AU3*Params!$C5</f>
        <v>124.51055017756791</v>
      </c>
      <c r="AW4" s="10">
        <f>AV3*Params!$C5</f>
        <v>125.75566326464426</v>
      </c>
      <c r="AX4" s="10">
        <f>AW3*Params!$C5</f>
        <v>127.01321558522112</v>
      </c>
      <c r="AY4" s="10">
        <f>AX3*Params!$C5</f>
        <v>128.28334506680747</v>
      </c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Y4" s="18"/>
      <c r="CZ4" s="18"/>
      <c r="DA4" s="18"/>
      <c r="DB4" s="18"/>
      <c r="DE4" s="18"/>
      <c r="DF4" s="18"/>
      <c r="DG4" s="18"/>
      <c r="DH4" s="18"/>
    </row>
    <row r="5" spans="1:112">
      <c r="A5" s="5">
        <f t="shared" ref="A5:A6" si="1">A4+1</f>
        <v>2</v>
      </c>
      <c r="B5" s="7">
        <f>Params!C12</f>
        <v>50</v>
      </c>
      <c r="C5" s="10">
        <f>B4*Params!$C6</f>
        <v>56.25</v>
      </c>
      <c r="D5" s="10">
        <f>C4*Params!$C6</f>
        <v>71.25</v>
      </c>
      <c r="E5" s="10">
        <f>D4*Params!$C6</f>
        <v>54.328125</v>
      </c>
      <c r="F5" s="10">
        <f>E4*Params!$C6</f>
        <v>59.288906249999997</v>
      </c>
      <c r="G5" s="10">
        <f>F4*Params!$C6</f>
        <v>63.106303124999997</v>
      </c>
      <c r="H5" s="10">
        <f>G4*Params!$C6</f>
        <v>63.808861078125005</v>
      </c>
      <c r="I5" s="10">
        <f>H4*Params!$C6</f>
        <v>60.507833321718749</v>
      </c>
      <c r="J5" s="10">
        <f>I4*Params!$C6</f>
        <v>63.655401163724974</v>
      </c>
      <c r="K5" s="10">
        <f>J4*Params!$C6</f>
        <v>64.657740487715756</v>
      </c>
      <c r="L5" s="10">
        <f>K4*Params!$C6</f>
        <v>64.548608276655415</v>
      </c>
      <c r="M5" s="10">
        <f>L4*Params!$C6</f>
        <v>64.745634572004633</v>
      </c>
      <c r="N5" s="10">
        <f>M4*Params!$C6</f>
        <v>66.227259799600688</v>
      </c>
      <c r="O5" s="10">
        <f>N4*Params!$C6</f>
        <v>66.685821109027046</v>
      </c>
      <c r="P5" s="10">
        <f>O4*Params!$C6</f>
        <v>67.111623515189279</v>
      </c>
      <c r="Q5" s="10">
        <f>P4*Params!$C6</f>
        <v>67.859714393960346</v>
      </c>
      <c r="R5" s="10">
        <f>Q4*Params!$C6</f>
        <v>68.70951003402584</v>
      </c>
      <c r="S5" s="10">
        <f>R4*Params!$C6</f>
        <v>69.264998259973396</v>
      </c>
      <c r="T5" s="10">
        <f>S4*Params!$C6</f>
        <v>69.933273627967182</v>
      </c>
      <c r="U5" s="10">
        <f>T4*Params!$C6</f>
        <v>70.688542681882467</v>
      </c>
      <c r="V5" s="10">
        <f>U4*Params!$C6</f>
        <v>71.406540468856576</v>
      </c>
      <c r="W5" s="10">
        <f>V4*Params!$C6</f>
        <v>72.078877961535611</v>
      </c>
      <c r="X5" s="10">
        <f>W4*Params!$C6</f>
        <v>72.81146338779169</v>
      </c>
      <c r="Y5" s="10">
        <f>X4*Params!$C6</f>
        <v>73.554143566362399</v>
      </c>
      <c r="Z5" s="10">
        <f>Y4*Params!$C6</f>
        <v>74.282308192489708</v>
      </c>
      <c r="AA5" s="10">
        <f>Z4*Params!$C6</f>
        <v>75.017558737514719</v>
      </c>
      <c r="AB5" s="10">
        <f>AA4*Params!$C6</f>
        <v>75.774995236442606</v>
      </c>
      <c r="AC5" s="10">
        <f>AB4*Params!$C6</f>
        <v>76.533870743770436</v>
      </c>
      <c r="AD5" s="10">
        <f>AC4*Params!$C6</f>
        <v>77.295664490782201</v>
      </c>
      <c r="AE5" s="10">
        <f>AD4*Params!$C6</f>
        <v>78.068600190442595</v>
      </c>
      <c r="AF5" s="10">
        <f>AE4*Params!$C6</f>
        <v>78.851430895679826</v>
      </c>
      <c r="AG5" s="10">
        <f>AF4*Params!$C6</f>
        <v>79.639185552110987</v>
      </c>
      <c r="AH5" s="10">
        <f>AG4*Params!$C6</f>
        <v>80.434778438151255</v>
      </c>
      <c r="AI5" s="10">
        <f>AH4*Params!$C6</f>
        <v>81.239662445401763</v>
      </c>
      <c r="AJ5" s="10">
        <f>AI4*Params!$C6</f>
        <v>82.052389550097601</v>
      </c>
      <c r="AK5" s="10">
        <f>AJ4*Params!$C6</f>
        <v>82.872502063452245</v>
      </c>
      <c r="AL5" s="10">
        <f>AK4*Params!$C6</f>
        <v>83.701191400556382</v>
      </c>
      <c r="AM5" s="10">
        <f>AL4*Params!$C6</f>
        <v>84.538412590108948</v>
      </c>
      <c r="AN5" s="10">
        <f>AM4*Params!$C6</f>
        <v>85.383769883645414</v>
      </c>
      <c r="AO5" s="10">
        <f>AN4*Params!$C6</f>
        <v>86.237496676658722</v>
      </c>
      <c r="AP5" s="10">
        <f>AO4*Params!$C6</f>
        <v>87.099921567603488</v>
      </c>
      <c r="AQ5" s="10">
        <f>AP4*Params!$C6</f>
        <v>87.970961934739123</v>
      </c>
      <c r="AR5" s="10">
        <f>AQ4*Params!$C6</f>
        <v>88.850636399422427</v>
      </c>
      <c r="AS5" s="10">
        <f>AR4*Params!$C6</f>
        <v>89.739129054444078</v>
      </c>
      <c r="AT5" s="10">
        <f>AS4*Params!$C6</f>
        <v>90.636543756003135</v>
      </c>
      <c r="AU5" s="10">
        <f>AT4*Params!$C6</f>
        <v>91.542909244591343</v>
      </c>
      <c r="AV5" s="10">
        <f>AU4*Params!$C6</f>
        <v>92.458326492034018</v>
      </c>
      <c r="AW5" s="10">
        <f>AV4*Params!$C6</f>
        <v>93.382912633175934</v>
      </c>
      <c r="AX5" s="10">
        <f>AW4*Params!$C6</f>
        <v>94.316747448483198</v>
      </c>
      <c r="AY5" s="10">
        <f>AX4*Params!$C6</f>
        <v>95.259911688915835</v>
      </c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Y5" s="18"/>
      <c r="CZ5" s="18"/>
      <c r="DA5" s="18"/>
      <c r="DB5" s="18"/>
      <c r="DE5" s="18"/>
      <c r="DF5" s="18"/>
      <c r="DG5" s="18"/>
      <c r="DH5" s="18"/>
    </row>
    <row r="6" spans="1:112">
      <c r="A6" s="5">
        <f t="shared" si="1"/>
        <v>3</v>
      </c>
      <c r="B6" s="7">
        <f>Params!C13</f>
        <v>25</v>
      </c>
      <c r="C6" s="10">
        <f>B5*Params!$C7</f>
        <v>25</v>
      </c>
      <c r="D6" s="10">
        <f>C5*Params!$C7</f>
        <v>28.125</v>
      </c>
      <c r="E6" s="10">
        <f>D5*Params!$C7</f>
        <v>35.625</v>
      </c>
      <c r="F6" s="10">
        <f>E5*Params!$C7</f>
        <v>27.1640625</v>
      </c>
      <c r="G6" s="10">
        <f>F5*Params!$C7</f>
        <v>29.644453124999998</v>
      </c>
      <c r="H6" s="10">
        <f>G5*Params!$C7</f>
        <v>31.553151562499998</v>
      </c>
      <c r="I6" s="10">
        <f>H5*Params!$C7</f>
        <v>31.904430539062503</v>
      </c>
      <c r="J6" s="10">
        <f>I5*Params!$C7</f>
        <v>30.253916660859375</v>
      </c>
      <c r="K6" s="10">
        <f>J5*Params!$C7</f>
        <v>31.827700581862487</v>
      </c>
      <c r="L6" s="10">
        <f>K5*Params!$C7</f>
        <v>32.328870243857878</v>
      </c>
      <c r="M6" s="10">
        <f>L5*Params!$C7</f>
        <v>32.274304138327707</v>
      </c>
      <c r="N6" s="10">
        <f>M5*Params!$C7</f>
        <v>32.372817286002316</v>
      </c>
      <c r="O6" s="10">
        <f>N5*Params!$C7</f>
        <v>33.113629899800344</v>
      </c>
      <c r="P6" s="10">
        <f>O5*Params!$C7</f>
        <v>33.342910554513523</v>
      </c>
      <c r="Q6" s="10">
        <f>P5*Params!$C7</f>
        <v>33.55581175759464</v>
      </c>
      <c r="R6" s="10">
        <f>Q5*Params!$C7</f>
        <v>33.929857196980173</v>
      </c>
      <c r="S6" s="10">
        <f>R5*Params!$C7</f>
        <v>34.35475501701292</v>
      </c>
      <c r="T6" s="10">
        <f>S5*Params!$C7</f>
        <v>34.632499129986698</v>
      </c>
      <c r="U6" s="10">
        <f>T5*Params!$C7</f>
        <v>34.966636813983591</v>
      </c>
      <c r="V6" s="10">
        <f>U5*Params!$C7</f>
        <v>35.344271340941233</v>
      </c>
      <c r="W6" s="10">
        <f>V5*Params!$C7</f>
        <v>35.703270234428288</v>
      </c>
      <c r="X6" s="10">
        <f>W5*Params!$C7</f>
        <v>36.039438980767805</v>
      </c>
      <c r="Y6" s="10">
        <f>X5*Params!$C7</f>
        <v>36.405731693895845</v>
      </c>
      <c r="Z6" s="10">
        <f>Y5*Params!$C7</f>
        <v>36.777071783181199</v>
      </c>
      <c r="AA6" s="10">
        <f>Z5*Params!$C7</f>
        <v>37.141154096244854</v>
      </c>
      <c r="AB6" s="10">
        <f>AA5*Params!$C7</f>
        <v>37.508779368757359</v>
      </c>
      <c r="AC6" s="10">
        <f>AB5*Params!$C7</f>
        <v>37.887497618221303</v>
      </c>
      <c r="AD6" s="10">
        <f>AC5*Params!$C7</f>
        <v>38.266935371885218</v>
      </c>
      <c r="AE6" s="10">
        <f>AD5*Params!$C7</f>
        <v>38.647832245391101</v>
      </c>
      <c r="AF6" s="10">
        <f>AE5*Params!$C7</f>
        <v>39.034300095221298</v>
      </c>
      <c r="AG6" s="10">
        <f>AF5*Params!$C7</f>
        <v>39.425715447839913</v>
      </c>
      <c r="AH6" s="10">
        <f>AG5*Params!$C7</f>
        <v>39.819592776055494</v>
      </c>
      <c r="AI6" s="10">
        <f>AH5*Params!$C7</f>
        <v>40.217389219075628</v>
      </c>
      <c r="AJ6" s="10">
        <f>AI5*Params!$C7</f>
        <v>40.619831222700881</v>
      </c>
      <c r="AK6" s="10">
        <f>AJ5*Params!$C7</f>
        <v>41.026194775048801</v>
      </c>
      <c r="AL6" s="10">
        <f>AK5*Params!$C7</f>
        <v>41.436251031726123</v>
      </c>
      <c r="AM6" s="10">
        <f>AL5*Params!$C7</f>
        <v>41.850595700278191</v>
      </c>
      <c r="AN6" s="10">
        <f>AM5*Params!$C7</f>
        <v>42.269206295054474</v>
      </c>
      <c r="AO6" s="10">
        <f>AN5*Params!$C7</f>
        <v>42.691884941822707</v>
      </c>
      <c r="AP6" s="10">
        <f>AO5*Params!$C7</f>
        <v>43.118748338329361</v>
      </c>
      <c r="AQ6" s="10">
        <f>AP5*Params!$C7</f>
        <v>43.549960783801744</v>
      </c>
      <c r="AR6" s="10">
        <f>AQ5*Params!$C7</f>
        <v>43.985480967369561</v>
      </c>
      <c r="AS6" s="10">
        <f>AR5*Params!$C7</f>
        <v>44.425318199711214</v>
      </c>
      <c r="AT6" s="10">
        <f>AS5*Params!$C7</f>
        <v>44.869564527222039</v>
      </c>
      <c r="AU6" s="10">
        <f>AT5*Params!$C7</f>
        <v>45.318271878001568</v>
      </c>
      <c r="AV6" s="10">
        <f>AU5*Params!$C7</f>
        <v>45.771454622295671</v>
      </c>
      <c r="AW6" s="10">
        <f>AV5*Params!$C7</f>
        <v>46.229163246017009</v>
      </c>
      <c r="AX6" s="10">
        <f>AW5*Params!$C7</f>
        <v>46.691456316587967</v>
      </c>
      <c r="AY6" s="10">
        <f>AX5*Params!$C7</f>
        <v>47.158373724241599</v>
      </c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Y6" s="18"/>
      <c r="CZ6" s="18"/>
      <c r="DA6" s="18"/>
      <c r="DB6" s="18"/>
      <c r="DE6" s="18"/>
      <c r="DF6" s="18"/>
      <c r="DG6" s="18"/>
      <c r="DH6" s="18"/>
    </row>
    <row r="7" spans="1:112">
      <c r="CY7" s="18"/>
      <c r="CZ7" s="18"/>
      <c r="DA7" s="18"/>
      <c r="DB7" s="18"/>
      <c r="DE7" s="18"/>
      <c r="DF7" s="18"/>
      <c r="DG7" s="18"/>
      <c r="DH7" s="18"/>
    </row>
    <row r="8" spans="1:112" ht="15">
      <c r="A8" s="8" t="s">
        <v>2</v>
      </c>
      <c r="B8" s="11">
        <f>SUM(B3:B6)</f>
        <v>250</v>
      </c>
      <c r="C8" s="11">
        <f t="shared" ref="C8:AY8" si="2">SUM(C3:C6)</f>
        <v>252.5</v>
      </c>
      <c r="D8" s="11">
        <f t="shared" si="2"/>
        <v>255.02500000000001</v>
      </c>
      <c r="E8" s="11">
        <f t="shared" si="2"/>
        <v>257.57524999999998</v>
      </c>
      <c r="F8" s="11">
        <f t="shared" si="2"/>
        <v>260.1510025</v>
      </c>
      <c r="G8" s="11">
        <f t="shared" si="2"/>
        <v>262.75251252499999</v>
      </c>
      <c r="H8" s="11">
        <f t="shared" si="2"/>
        <v>265.38003765024996</v>
      </c>
      <c r="I8" s="11">
        <f t="shared" si="2"/>
        <v>268.03383802675245</v>
      </c>
      <c r="J8" s="11">
        <f t="shared" si="2"/>
        <v>270.71417640701998</v>
      </c>
      <c r="K8" s="11">
        <f t="shared" si="2"/>
        <v>273.42131817109021</v>
      </c>
      <c r="L8" s="11">
        <f t="shared" si="2"/>
        <v>276.15553135280112</v>
      </c>
      <c r="M8" s="11">
        <f t="shared" si="2"/>
        <v>278.91708666632911</v>
      </c>
      <c r="N8" s="11">
        <f t="shared" si="2"/>
        <v>281.70625753299242</v>
      </c>
      <c r="O8" s="11">
        <f t="shared" si="2"/>
        <v>284.52332010832231</v>
      </c>
      <c r="P8" s="11">
        <f t="shared" si="2"/>
        <v>287.36855330940546</v>
      </c>
      <c r="Q8" s="11">
        <f t="shared" si="2"/>
        <v>290.24223884249949</v>
      </c>
      <c r="R8" s="11">
        <f t="shared" si="2"/>
        <v>293.1446612309245</v>
      </c>
      <c r="S8" s="11">
        <f t="shared" si="2"/>
        <v>296.07610784323373</v>
      </c>
      <c r="T8" s="11">
        <f t="shared" si="2"/>
        <v>299.03686892166604</v>
      </c>
      <c r="U8" s="11">
        <f t="shared" si="2"/>
        <v>302.02723761088271</v>
      </c>
      <c r="V8" s="11">
        <f t="shared" si="2"/>
        <v>305.04750998699154</v>
      </c>
      <c r="W8" s="11">
        <f t="shared" si="2"/>
        <v>308.0979850868614</v>
      </c>
      <c r="X8" s="11">
        <f t="shared" si="2"/>
        <v>311.17896493772997</v>
      </c>
      <c r="Y8" s="11">
        <f t="shared" si="2"/>
        <v>314.29075458710736</v>
      </c>
      <c r="Z8" s="11">
        <f t="shared" si="2"/>
        <v>317.43366213297844</v>
      </c>
      <c r="AA8" s="11">
        <f t="shared" si="2"/>
        <v>320.60799875430826</v>
      </c>
      <c r="AB8" s="11">
        <f t="shared" si="2"/>
        <v>323.8140787418514</v>
      </c>
      <c r="AC8" s="11">
        <f t="shared" si="2"/>
        <v>327.05221952926985</v>
      </c>
      <c r="AD8" s="11">
        <f t="shared" si="2"/>
        <v>330.32274172456255</v>
      </c>
      <c r="AE8" s="11">
        <f t="shared" si="2"/>
        <v>333.62596914180818</v>
      </c>
      <c r="AF8" s="11">
        <f t="shared" si="2"/>
        <v>336.96222883322628</v>
      </c>
      <c r="AG8" s="11">
        <f t="shared" si="2"/>
        <v>340.33185112155854</v>
      </c>
      <c r="AH8" s="11">
        <f t="shared" si="2"/>
        <v>343.73516963277416</v>
      </c>
      <c r="AI8" s="11">
        <f t="shared" si="2"/>
        <v>347.17252132910193</v>
      </c>
      <c r="AJ8" s="11">
        <f t="shared" si="2"/>
        <v>350.64424654239292</v>
      </c>
      <c r="AK8" s="11">
        <f t="shared" si="2"/>
        <v>354.15068900781688</v>
      </c>
      <c r="AL8" s="11">
        <f t="shared" si="2"/>
        <v>357.69219589789498</v>
      </c>
      <c r="AM8" s="11">
        <f t="shared" si="2"/>
        <v>361.26911785687395</v>
      </c>
      <c r="AN8" s="11">
        <f t="shared" si="2"/>
        <v>364.8818090354427</v>
      </c>
      <c r="AO8" s="11">
        <f t="shared" si="2"/>
        <v>368.53062712579714</v>
      </c>
      <c r="AP8" s="11">
        <f t="shared" si="2"/>
        <v>372.21593339705504</v>
      </c>
      <c r="AQ8" s="11">
        <f t="shared" si="2"/>
        <v>375.93809273102562</v>
      </c>
      <c r="AR8" s="11">
        <f t="shared" si="2"/>
        <v>379.69747365833587</v>
      </c>
      <c r="AS8" s="11">
        <f t="shared" si="2"/>
        <v>383.49444839491923</v>
      </c>
      <c r="AT8" s="11">
        <f t="shared" si="2"/>
        <v>387.32939287886842</v>
      </c>
      <c r="AU8" s="11">
        <f t="shared" si="2"/>
        <v>391.20268680765707</v>
      </c>
      <c r="AV8" s="11">
        <f t="shared" si="2"/>
        <v>395.11471367573364</v>
      </c>
      <c r="AW8" s="11">
        <f t="shared" si="2"/>
        <v>399.065860812491</v>
      </c>
      <c r="AX8" s="11">
        <f t="shared" si="2"/>
        <v>403.05651942061593</v>
      </c>
      <c r="AY8" s="11">
        <f t="shared" si="2"/>
        <v>407.08708461482212</v>
      </c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Y8" s="18"/>
      <c r="CZ8" s="18"/>
      <c r="DA8" s="18"/>
      <c r="DB8" s="18"/>
      <c r="DE8" s="18"/>
      <c r="DF8" s="18"/>
      <c r="DG8" s="18"/>
      <c r="DH8" s="18"/>
    </row>
    <row r="9" spans="1:112">
      <c r="A9" s="4" t="s">
        <v>3</v>
      </c>
      <c r="C9" s="13">
        <f>C8/B8-1</f>
        <v>1.0000000000000009E-2</v>
      </c>
      <c r="D9" s="13">
        <f t="shared" ref="D9:F9" si="3">D8/C8-1</f>
        <v>1.0000000000000009E-2</v>
      </c>
      <c r="E9" s="13">
        <f t="shared" si="3"/>
        <v>1.0000000000000009E-2</v>
      </c>
      <c r="F9" s="13">
        <f t="shared" si="3"/>
        <v>1.0000000000000009E-2</v>
      </c>
      <c r="G9" s="13">
        <f t="shared" ref="G9" si="4">G8/F8-1</f>
        <v>1.0000000000000009E-2</v>
      </c>
      <c r="H9" s="13">
        <f t="shared" ref="H9" si="5">H8/G8-1</f>
        <v>1.0000000000000009E-2</v>
      </c>
      <c r="I9" s="13">
        <f t="shared" ref="I9" si="6">I8/H8-1</f>
        <v>1.0000000000000009E-2</v>
      </c>
      <c r="J9" s="13">
        <f t="shared" ref="J9" si="7">J8/I8-1</f>
        <v>1.0000000000000009E-2</v>
      </c>
      <c r="K9" s="13">
        <f t="shared" ref="K9" si="8">K8/J8-1</f>
        <v>1.0000000000000009E-2</v>
      </c>
      <c r="L9" s="13">
        <f t="shared" ref="L9" si="9">L8/K8-1</f>
        <v>1.0000000000000009E-2</v>
      </c>
      <c r="M9" s="13">
        <f t="shared" ref="M9" si="10">M8/L8-1</f>
        <v>1.0000000000000009E-2</v>
      </c>
      <c r="N9" s="13">
        <f t="shared" ref="N9" si="11">N8/M8-1</f>
        <v>1.0000000000000009E-2</v>
      </c>
      <c r="O9" s="13">
        <f t="shared" ref="O9" si="12">O8/N8-1</f>
        <v>9.9999999999997868E-3</v>
      </c>
      <c r="P9" s="13">
        <f t="shared" ref="P9" si="13">P8/O8-1</f>
        <v>9.9999999999997868E-3</v>
      </c>
      <c r="Q9" s="13">
        <f t="shared" ref="Q9" si="14">Q8/P8-1</f>
        <v>1.0000000000000009E-2</v>
      </c>
      <c r="R9" s="13">
        <f t="shared" ref="R9" si="15">R8/Q8-1</f>
        <v>1.0000000000000009E-2</v>
      </c>
      <c r="S9" s="13">
        <f t="shared" ref="S9" si="16">S8/R8-1</f>
        <v>1.0000000000000009E-2</v>
      </c>
      <c r="T9" s="13">
        <f t="shared" ref="T9" si="17">T8/S8-1</f>
        <v>1.0000000000000009E-2</v>
      </c>
      <c r="U9" s="13">
        <f t="shared" ref="U9" si="18">U8/T8-1</f>
        <v>1.0000000000000009E-2</v>
      </c>
      <c r="V9" s="13">
        <f t="shared" ref="V9" si="19">V8/U8-1</f>
        <v>1.0000000000000009E-2</v>
      </c>
      <c r="W9" s="13">
        <f t="shared" ref="W9" si="20">W8/V8-1</f>
        <v>9.9999999999997868E-3</v>
      </c>
      <c r="X9" s="13">
        <f t="shared" ref="X9" si="21">X8/W8-1</f>
        <v>9.9999999999997868E-3</v>
      </c>
      <c r="Y9" s="13">
        <f t="shared" ref="Y9" si="22">Y8/X8-1</f>
        <v>1.0000000000000231E-2</v>
      </c>
      <c r="Z9" s="13">
        <f t="shared" ref="Z9" si="23">Z8/Y8-1</f>
        <v>1.0000000000000009E-2</v>
      </c>
      <c r="AA9" s="13">
        <f t="shared" ref="AA9" si="24">AA8/Z8-1</f>
        <v>1.0000000000000009E-2</v>
      </c>
      <c r="AB9" s="13">
        <f t="shared" ref="AB9" si="25">AB8/AA8-1</f>
        <v>1.0000000000000231E-2</v>
      </c>
      <c r="AC9" s="13">
        <f t="shared" ref="AC9" si="26">AC8/AB8-1</f>
        <v>9.9999999999997868E-3</v>
      </c>
      <c r="AD9" s="13">
        <f t="shared" ref="AD9" si="27">AD8/AC8-1</f>
        <v>1.0000000000000009E-2</v>
      </c>
      <c r="AE9" s="13">
        <f t="shared" ref="AE9" si="28">AE8/AD8-1</f>
        <v>1.0000000000000009E-2</v>
      </c>
      <c r="AF9" s="13">
        <f t="shared" ref="AF9" si="29">AF8/AE8-1</f>
        <v>1.0000000000000009E-2</v>
      </c>
      <c r="AG9" s="13">
        <f t="shared" ref="AG9" si="30">AG8/AF8-1</f>
        <v>1.0000000000000009E-2</v>
      </c>
      <c r="AH9" s="13">
        <f t="shared" ref="AH9" si="31">AH8/AG8-1</f>
        <v>1.0000000000000009E-2</v>
      </c>
      <c r="AI9" s="13">
        <f t="shared" ref="AI9" si="32">AI8/AH8-1</f>
        <v>1.0000000000000009E-2</v>
      </c>
      <c r="AJ9" s="13">
        <f t="shared" ref="AJ9" si="33">AJ8/AI8-1</f>
        <v>1.0000000000000009E-2</v>
      </c>
      <c r="AK9" s="13">
        <f t="shared" ref="AK9" si="34">AK8/AJ8-1</f>
        <v>1.0000000000000009E-2</v>
      </c>
      <c r="AL9" s="13">
        <f t="shared" ref="AL9" si="35">AL8/AK8-1</f>
        <v>9.9999999999997868E-3</v>
      </c>
      <c r="AM9" s="13">
        <f t="shared" ref="AM9" si="36">AM8/AL8-1</f>
        <v>1.0000000000000009E-2</v>
      </c>
      <c r="AN9" s="13">
        <f t="shared" ref="AN9" si="37">AN8/AM8-1</f>
        <v>1.0000000000000009E-2</v>
      </c>
      <c r="AO9" s="13">
        <f t="shared" ref="AO9" si="38">AO8/AN8-1</f>
        <v>1.0000000000000009E-2</v>
      </c>
      <c r="AP9" s="13">
        <f t="shared" ref="AP9" si="39">AP8/AO8-1</f>
        <v>9.9999999999997868E-3</v>
      </c>
      <c r="AQ9" s="13">
        <f t="shared" ref="AQ9" si="40">AQ8/AP8-1</f>
        <v>1.0000000000000009E-2</v>
      </c>
      <c r="AR9" s="13">
        <f t="shared" ref="AR9" si="41">AR8/AQ8-1</f>
        <v>1.0000000000000009E-2</v>
      </c>
      <c r="AS9" s="13">
        <f t="shared" ref="AS9" si="42">AS8/AR8-1</f>
        <v>1.0000000000000009E-2</v>
      </c>
      <c r="AT9" s="13">
        <f t="shared" ref="AT9" si="43">AT8/AS8-1</f>
        <v>1.0000000000000009E-2</v>
      </c>
      <c r="AU9" s="13">
        <f t="shared" ref="AU9" si="44">AU8/AT8-1</f>
        <v>1.0000000000000009E-2</v>
      </c>
      <c r="AV9" s="13">
        <f t="shared" ref="AV9" si="45">AV8/AU8-1</f>
        <v>1.0000000000000009E-2</v>
      </c>
      <c r="AW9" s="13">
        <f t="shared" ref="AW9" si="46">AW8/AV8-1</f>
        <v>1.0000000000000009E-2</v>
      </c>
      <c r="AX9" s="13">
        <f t="shared" ref="AX9" si="47">AX8/AW8-1</f>
        <v>1.0000000000000009E-2</v>
      </c>
      <c r="AY9" s="13">
        <f t="shared" ref="AY9" si="48">AY8/AX8-1</f>
        <v>1.0000000000000009E-2</v>
      </c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Y9" s="18"/>
      <c r="CZ9" s="18"/>
      <c r="DA9" s="18"/>
      <c r="DB9" s="18"/>
      <c r="DE9" s="18"/>
      <c r="DF9" s="18"/>
      <c r="DG9" s="18"/>
      <c r="DH9" s="18"/>
    </row>
    <row r="10" spans="1:112">
      <c r="CY10" s="18"/>
      <c r="CZ10" s="18"/>
      <c r="DA10" s="18"/>
      <c r="DB10" s="18"/>
      <c r="DE10" s="18"/>
      <c r="DF10" s="18"/>
      <c r="DG10" s="18"/>
      <c r="DH10" s="18"/>
    </row>
    <row r="11" spans="1:112" ht="15">
      <c r="A11" s="15" t="s">
        <v>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Y11" s="18"/>
      <c r="CZ11" s="18"/>
      <c r="DA11" s="18"/>
      <c r="DB11" s="18"/>
      <c r="DE11" s="18"/>
      <c r="DF11" s="18"/>
      <c r="DG11" s="18"/>
      <c r="DH11" s="18"/>
    </row>
    <row r="12" spans="1:112">
      <c r="A12" s="4">
        <v>0</v>
      </c>
      <c r="B12" s="9">
        <f t="shared" ref="B12:AG12" si="49">B3/B$8</f>
        <v>0.4</v>
      </c>
      <c r="C12" s="9">
        <f t="shared" si="49"/>
        <v>0.30198019801980197</v>
      </c>
      <c r="D12" s="9">
        <f t="shared" si="49"/>
        <v>0.32629154004509364</v>
      </c>
      <c r="E12" s="9">
        <f t="shared" si="49"/>
        <v>0.34386164819795378</v>
      </c>
      <c r="F12" s="9">
        <f t="shared" si="49"/>
        <v>0.34424736168372061</v>
      </c>
      <c r="G12" s="9">
        <f t="shared" si="49"/>
        <v>0.32320632834831542</v>
      </c>
      <c r="H12" s="9">
        <f t="shared" si="49"/>
        <v>0.33665272906375976</v>
      </c>
      <c r="I12" s="9">
        <f t="shared" si="49"/>
        <v>0.33856809504258834</v>
      </c>
      <c r="J12" s="9">
        <f t="shared" si="49"/>
        <v>0.3346501433155043</v>
      </c>
      <c r="K12" s="9">
        <f t="shared" si="49"/>
        <v>0.33234813830101545</v>
      </c>
      <c r="L12" s="9">
        <f t="shared" si="49"/>
        <v>0.33658764542675951</v>
      </c>
      <c r="M12" s="9">
        <f t="shared" si="49"/>
        <v>0.33556257168937798</v>
      </c>
      <c r="N12" s="9">
        <f t="shared" si="49"/>
        <v>0.33436159042717978</v>
      </c>
      <c r="O12" s="9">
        <f t="shared" si="49"/>
        <v>0.33474129423316157</v>
      </c>
      <c r="P12" s="9">
        <f t="shared" si="49"/>
        <v>0.33557742813955732</v>
      </c>
      <c r="Q12" s="9">
        <f t="shared" si="49"/>
        <v>0.33494102386086572</v>
      </c>
      <c r="R12" s="9">
        <f t="shared" si="49"/>
        <v>0.33482432384910971</v>
      </c>
      <c r="S12" s="9">
        <f t="shared" si="49"/>
        <v>0.33508948240257397</v>
      </c>
      <c r="T12" s="9">
        <f t="shared" si="49"/>
        <v>0.33514163749305165</v>
      </c>
      <c r="U12" s="9">
        <f t="shared" si="49"/>
        <v>0.33494772951639712</v>
      </c>
      <c r="V12" s="9">
        <f t="shared" si="49"/>
        <v>0.33500200531442059</v>
      </c>
      <c r="W12" s="9">
        <f t="shared" si="49"/>
        <v>0.33506835715939781</v>
      </c>
      <c r="X12" s="9">
        <f t="shared" si="49"/>
        <v>0.33503508557596956</v>
      </c>
      <c r="Y12" s="9">
        <f t="shared" si="49"/>
        <v>0.33500126936658486</v>
      </c>
      <c r="Z12" s="9">
        <f t="shared" si="49"/>
        <v>0.33503337293426577</v>
      </c>
      <c r="AA12" s="9">
        <f t="shared" si="49"/>
        <v>0.33503830021702397</v>
      </c>
      <c r="AB12" s="9">
        <f t="shared" si="49"/>
        <v>0.33502293527960891</v>
      </c>
      <c r="AC12" s="9">
        <f t="shared" si="49"/>
        <v>0.33502284539537419</v>
      </c>
      <c r="AD12" s="9">
        <f t="shared" si="49"/>
        <v>0.33503195802844654</v>
      </c>
      <c r="AE12" s="9">
        <f t="shared" si="49"/>
        <v>0.33502876229705281</v>
      </c>
      <c r="AF12" s="9">
        <f t="shared" si="49"/>
        <v>0.33502543444431759</v>
      </c>
      <c r="AG12" s="9">
        <f t="shared" si="49"/>
        <v>0.33502764579626088</v>
      </c>
      <c r="AH12" s="9">
        <f t="shared" ref="AH12:AY12" si="50">AH3/AH$8</f>
        <v>0.33502899518369433</v>
      </c>
      <c r="AI12" s="9">
        <f t="shared" si="50"/>
        <v>0.33502733209570346</v>
      </c>
      <c r="AJ12" s="9">
        <f t="shared" si="50"/>
        <v>0.33502718926675817</v>
      </c>
      <c r="AK12" s="9">
        <f t="shared" si="50"/>
        <v>0.33502801863141873</v>
      </c>
      <c r="AL12" s="9">
        <f t="shared" si="50"/>
        <v>0.33502791334687643</v>
      </c>
      <c r="AM12" s="9">
        <f t="shared" si="50"/>
        <v>0.33502748248443082</v>
      </c>
      <c r="AN12" s="9">
        <f t="shared" si="50"/>
        <v>0.3350276745165362</v>
      </c>
      <c r="AO12" s="9">
        <f t="shared" si="50"/>
        <v>0.33502783123738999</v>
      </c>
      <c r="AP12" s="9">
        <f t="shared" si="50"/>
        <v>0.33502769868025051</v>
      </c>
      <c r="AQ12" s="9">
        <f t="shared" si="50"/>
        <v>0.33502764749984704</v>
      </c>
      <c r="AR12" s="9">
        <f t="shared" si="50"/>
        <v>0.33502773403601505</v>
      </c>
      <c r="AS12" s="9">
        <f t="shared" si="50"/>
        <v>0.33502773422276738</v>
      </c>
      <c r="AT12" s="9">
        <f t="shared" si="50"/>
        <v>0.33502769130176463</v>
      </c>
      <c r="AU12" s="9">
        <f t="shared" si="50"/>
        <v>0.33502770162071782</v>
      </c>
      <c r="AV12" s="9">
        <f t="shared" si="50"/>
        <v>0.33502772182884155</v>
      </c>
      <c r="AW12" s="9">
        <f t="shared" si="50"/>
        <v>0.33502771045472746</v>
      </c>
      <c r="AX12" s="9">
        <f t="shared" si="50"/>
        <v>0.33502770347055388</v>
      </c>
      <c r="AY12" s="9">
        <f t="shared" si="50"/>
        <v>0.33502771099678219</v>
      </c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Y12" s="18"/>
      <c r="CZ12" s="18"/>
      <c r="DA12" s="18"/>
      <c r="DB12" s="18"/>
      <c r="DE12" s="18"/>
      <c r="DF12" s="18"/>
      <c r="DG12" s="18"/>
      <c r="DH12" s="18"/>
    </row>
    <row r="13" spans="1:112">
      <c r="A13" s="4">
        <f>A12+1</f>
        <v>1</v>
      </c>
      <c r="B13" s="9">
        <f t="shared" ref="B13:AG13" si="51">B4/B$8</f>
        <v>0.3</v>
      </c>
      <c r="C13" s="9">
        <f t="shared" si="51"/>
        <v>0.37623762376237624</v>
      </c>
      <c r="D13" s="9">
        <f t="shared" si="51"/>
        <v>0.28404078031565533</v>
      </c>
      <c r="E13" s="9">
        <f t="shared" si="51"/>
        <v>0.30690788420083065</v>
      </c>
      <c r="F13" s="9">
        <f t="shared" si="51"/>
        <v>0.32343422355253076</v>
      </c>
      <c r="G13" s="9">
        <f t="shared" si="51"/>
        <v>0.32379702336587585</v>
      </c>
      <c r="H13" s="9">
        <f t="shared" si="51"/>
        <v>0.30400595240683131</v>
      </c>
      <c r="I13" s="9">
        <f t="shared" si="51"/>
        <v>0.31665355704017006</v>
      </c>
      <c r="J13" s="9">
        <f t="shared" si="51"/>
        <v>0.31845513890144445</v>
      </c>
      <c r="K13" s="9">
        <f t="shared" si="51"/>
        <v>0.3147699367819099</v>
      </c>
      <c r="L13" s="9">
        <f t="shared" si="51"/>
        <v>0.31260468454055901</v>
      </c>
      <c r="M13" s="9">
        <f t="shared" si="51"/>
        <v>0.31659233975784312</v>
      </c>
      <c r="N13" s="9">
        <f t="shared" si="51"/>
        <v>0.31562816149000894</v>
      </c>
      <c r="O13" s="9">
        <f t="shared" si="51"/>
        <v>0.31449852564932756</v>
      </c>
      <c r="P13" s="9">
        <f t="shared" si="51"/>
        <v>0.31485567279356785</v>
      </c>
      <c r="Q13" s="9">
        <f t="shared" si="51"/>
        <v>0.3156421353787916</v>
      </c>
      <c r="R13" s="9">
        <f t="shared" si="51"/>
        <v>0.31504353729487367</v>
      </c>
      <c r="S13" s="9">
        <f t="shared" si="51"/>
        <v>0.31493376995708339</v>
      </c>
      <c r="T13" s="9">
        <f t="shared" si="51"/>
        <v>0.31518317651727251</v>
      </c>
      <c r="U13" s="9">
        <f t="shared" si="51"/>
        <v>0.31523223328554362</v>
      </c>
      <c r="V13" s="9">
        <f t="shared" si="51"/>
        <v>0.31504984459463092</v>
      </c>
      <c r="W13" s="9">
        <f t="shared" si="51"/>
        <v>0.31510089608782138</v>
      </c>
      <c r="X13" s="9">
        <f t="shared" si="51"/>
        <v>0.3151633062390376</v>
      </c>
      <c r="Y13" s="9">
        <f t="shared" si="51"/>
        <v>0.31513201118531781</v>
      </c>
      <c r="Z13" s="9">
        <f t="shared" si="51"/>
        <v>0.31510020385965898</v>
      </c>
      <c r="AA13" s="9">
        <f t="shared" si="51"/>
        <v>0.31513040028470535</v>
      </c>
      <c r="AB13" s="9">
        <f t="shared" si="51"/>
        <v>0.31513503485759675</v>
      </c>
      <c r="AC13" s="9">
        <f t="shared" si="51"/>
        <v>0.31512058268874116</v>
      </c>
      <c r="AD13" s="9">
        <f t="shared" si="51"/>
        <v>0.31512049814416382</v>
      </c>
      <c r="AE13" s="9">
        <f t="shared" si="51"/>
        <v>0.3151290694326972</v>
      </c>
      <c r="AF13" s="9">
        <f t="shared" si="51"/>
        <v>0.31512606354673278</v>
      </c>
      <c r="AG13" s="9">
        <f t="shared" si="51"/>
        <v>0.31512293338821951</v>
      </c>
      <c r="AH13" s="9">
        <f t="shared" ref="AH13:AY13" si="52">AH4/AH$8</f>
        <v>0.31512501337272059</v>
      </c>
      <c r="AI13" s="9">
        <f t="shared" si="52"/>
        <v>0.31512628259852438</v>
      </c>
      <c r="AJ13" s="9">
        <f t="shared" si="52"/>
        <v>0.31512471830783989</v>
      </c>
      <c r="AK13" s="9">
        <f t="shared" si="52"/>
        <v>0.3151245839637824</v>
      </c>
      <c r="AL13" s="9">
        <f t="shared" si="52"/>
        <v>0.31512536405925529</v>
      </c>
      <c r="AM13" s="9">
        <f t="shared" si="52"/>
        <v>0.31512526502924015</v>
      </c>
      <c r="AN13" s="9">
        <f t="shared" si="52"/>
        <v>0.31512485976258342</v>
      </c>
      <c r="AO13" s="9">
        <f t="shared" si="52"/>
        <v>0.31512504038684097</v>
      </c>
      <c r="AP13" s="9">
        <f t="shared" si="52"/>
        <v>0.31512518779754506</v>
      </c>
      <c r="AQ13" s="9">
        <f t="shared" si="52"/>
        <v>0.31512506311508709</v>
      </c>
      <c r="AR13" s="9">
        <f t="shared" si="52"/>
        <v>0.31512501497510365</v>
      </c>
      <c r="AS13" s="9">
        <f t="shared" si="52"/>
        <v>0.31512509637050917</v>
      </c>
      <c r="AT13" s="9">
        <f t="shared" si="52"/>
        <v>0.31512509654616733</v>
      </c>
      <c r="AU13" s="9">
        <f t="shared" si="52"/>
        <v>0.31512505617492709</v>
      </c>
      <c r="AV13" s="9">
        <f t="shared" si="52"/>
        <v>0.31512506588087319</v>
      </c>
      <c r="AW13" s="9">
        <f t="shared" si="52"/>
        <v>0.31512508488851432</v>
      </c>
      <c r="AX13" s="9">
        <f t="shared" si="52"/>
        <v>0.31512507419009017</v>
      </c>
      <c r="AY13" s="9">
        <f t="shared" si="52"/>
        <v>0.31512506762081799</v>
      </c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Y13" s="18"/>
      <c r="CZ13" s="18"/>
      <c r="DA13" s="18"/>
      <c r="DB13" s="18"/>
      <c r="DE13" s="18"/>
      <c r="DF13" s="18"/>
      <c r="DG13" s="18"/>
      <c r="DH13" s="18"/>
    </row>
    <row r="14" spans="1:112">
      <c r="A14" s="4">
        <f t="shared" ref="A14:A15" si="53">A13+1</f>
        <v>2</v>
      </c>
      <c r="B14" s="9">
        <f t="shared" ref="B14:AG14" si="54">B5/B$8</f>
        <v>0.2</v>
      </c>
      <c r="C14" s="9">
        <f t="shared" si="54"/>
        <v>0.22277227722772278</v>
      </c>
      <c r="D14" s="9">
        <f t="shared" si="54"/>
        <v>0.27938437408097244</v>
      </c>
      <c r="E14" s="9">
        <f t="shared" si="54"/>
        <v>0.21092137152152624</v>
      </c>
      <c r="F14" s="9">
        <f t="shared" si="54"/>
        <v>0.22790189420853757</v>
      </c>
      <c r="G14" s="9">
        <f t="shared" si="54"/>
        <v>0.24017392838059218</v>
      </c>
      <c r="H14" s="9">
        <f t="shared" si="54"/>
        <v>0.2404433341825811</v>
      </c>
      <c r="I14" s="9">
        <f t="shared" si="54"/>
        <v>0.22574699436150844</v>
      </c>
      <c r="J14" s="9">
        <f t="shared" si="54"/>
        <v>0.23513877998032431</v>
      </c>
      <c r="K14" s="9">
        <f t="shared" si="54"/>
        <v>0.23647658829315177</v>
      </c>
      <c r="L14" s="9">
        <f t="shared" si="54"/>
        <v>0.23374005206577472</v>
      </c>
      <c r="M14" s="9">
        <f t="shared" si="54"/>
        <v>0.23213219149051412</v>
      </c>
      <c r="N14" s="9">
        <f t="shared" si="54"/>
        <v>0.23509332160235877</v>
      </c>
      <c r="O14" s="9">
        <f t="shared" si="54"/>
        <v>0.23437734764109583</v>
      </c>
      <c r="P14" s="9">
        <f t="shared" si="54"/>
        <v>0.23353850914554034</v>
      </c>
      <c r="Q14" s="9">
        <f t="shared" si="54"/>
        <v>0.23380371742096626</v>
      </c>
      <c r="R14" s="9">
        <f t="shared" si="54"/>
        <v>0.23438772429118185</v>
      </c>
      <c r="S14" s="9">
        <f t="shared" si="54"/>
        <v>0.23394322076352003</v>
      </c>
      <c r="T14" s="9">
        <f t="shared" si="54"/>
        <v>0.23386171036417083</v>
      </c>
      <c r="U14" s="9">
        <f t="shared" si="54"/>
        <v>0.23404691325540039</v>
      </c>
      <c r="V14" s="9">
        <f t="shared" si="54"/>
        <v>0.23408334154867103</v>
      </c>
      <c r="W14" s="9">
        <f t="shared" si="54"/>
        <v>0.2339479044019537</v>
      </c>
      <c r="X14" s="9">
        <f t="shared" si="54"/>
        <v>0.23398581392660006</v>
      </c>
      <c r="Y14" s="9">
        <f t="shared" si="54"/>
        <v>0.23403215809829517</v>
      </c>
      <c r="Z14" s="9">
        <f t="shared" si="54"/>
        <v>0.23400891919701813</v>
      </c>
      <c r="AA14" s="9">
        <f t="shared" si="54"/>
        <v>0.23398529989578637</v>
      </c>
      <c r="AB14" s="9">
        <f t="shared" si="54"/>
        <v>0.23400772298369205</v>
      </c>
      <c r="AC14" s="9">
        <f t="shared" si="54"/>
        <v>0.23401116449821543</v>
      </c>
      <c r="AD14" s="9">
        <f t="shared" si="54"/>
        <v>0.23400043268965925</v>
      </c>
      <c r="AE14" s="9">
        <f t="shared" si="54"/>
        <v>0.23400036990903256</v>
      </c>
      <c r="AF14" s="9">
        <f t="shared" si="54"/>
        <v>0.23400673472725039</v>
      </c>
      <c r="AG14" s="9">
        <f t="shared" si="54"/>
        <v>0.23400450263371247</v>
      </c>
      <c r="AH14" s="9">
        <f t="shared" ref="AH14:AY14" si="55">AH5/AH$8</f>
        <v>0.23400217825857883</v>
      </c>
      <c r="AI14" s="9">
        <f t="shared" si="55"/>
        <v>0.2340037228015252</v>
      </c>
      <c r="AJ14" s="9">
        <f t="shared" si="55"/>
        <v>0.23400466529593394</v>
      </c>
      <c r="AK14" s="9">
        <f t="shared" si="55"/>
        <v>0.23400350369394049</v>
      </c>
      <c r="AL14" s="9">
        <f t="shared" si="55"/>
        <v>0.23400340393350183</v>
      </c>
      <c r="AM14" s="9">
        <f t="shared" si="55"/>
        <v>0.23400398321231822</v>
      </c>
      <c r="AN14" s="9">
        <f t="shared" si="55"/>
        <v>0.23400390967517837</v>
      </c>
      <c r="AO14" s="9">
        <f t="shared" si="55"/>
        <v>0.23400360873459164</v>
      </c>
      <c r="AP14" s="9">
        <f t="shared" si="55"/>
        <v>0.23400374286151562</v>
      </c>
      <c r="AQ14" s="9">
        <f t="shared" si="55"/>
        <v>0.23400385232490969</v>
      </c>
      <c r="AR14" s="9">
        <f t="shared" si="55"/>
        <v>0.23400375973892604</v>
      </c>
      <c r="AS14" s="9">
        <f t="shared" si="55"/>
        <v>0.23400372399141359</v>
      </c>
      <c r="AT14" s="9">
        <f t="shared" si="55"/>
        <v>0.23400378443354641</v>
      </c>
      <c r="AU14" s="9">
        <f t="shared" si="55"/>
        <v>0.23400378456398566</v>
      </c>
      <c r="AV14" s="9">
        <f t="shared" si="55"/>
        <v>0.23400375458534192</v>
      </c>
      <c r="AW14" s="9">
        <f t="shared" si="55"/>
        <v>0.23400376179272761</v>
      </c>
      <c r="AX14" s="9">
        <f t="shared" si="55"/>
        <v>0.23400377590731261</v>
      </c>
      <c r="AY14" s="9">
        <f t="shared" si="55"/>
        <v>0.23400376796293823</v>
      </c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Y14" s="18"/>
      <c r="CZ14" s="18"/>
      <c r="DA14" s="18"/>
      <c r="DB14" s="18"/>
      <c r="DE14" s="18"/>
      <c r="DF14" s="18"/>
      <c r="DG14" s="18"/>
      <c r="DH14" s="18"/>
    </row>
    <row r="15" spans="1:112">
      <c r="A15" s="4">
        <f t="shared" si="53"/>
        <v>3</v>
      </c>
      <c r="B15" s="9">
        <f t="shared" ref="B15:AG15" si="56">B6/B$8</f>
        <v>0.1</v>
      </c>
      <c r="C15" s="9">
        <f t="shared" si="56"/>
        <v>9.9009900990099015E-2</v>
      </c>
      <c r="D15" s="9">
        <f t="shared" si="56"/>
        <v>0.1102833055582786</v>
      </c>
      <c r="E15" s="9">
        <f t="shared" si="56"/>
        <v>0.13830909607968933</v>
      </c>
      <c r="F15" s="9">
        <f t="shared" si="56"/>
        <v>0.104416520555211</v>
      </c>
      <c r="G15" s="9">
        <f t="shared" si="56"/>
        <v>0.11282271990521663</v>
      </c>
      <c r="H15" s="9">
        <f t="shared" si="56"/>
        <v>0.11889798434682783</v>
      </c>
      <c r="I15" s="9">
        <f t="shared" si="56"/>
        <v>0.11903135355573322</v>
      </c>
      <c r="J15" s="9">
        <f t="shared" si="56"/>
        <v>0.11175593780272694</v>
      </c>
      <c r="K15" s="9">
        <f t="shared" si="56"/>
        <v>0.11640533662392291</v>
      </c>
      <c r="L15" s="9">
        <f t="shared" si="56"/>
        <v>0.11706761796690682</v>
      </c>
      <c r="M15" s="9">
        <f t="shared" si="56"/>
        <v>0.11571289706226472</v>
      </c>
      <c r="N15" s="9">
        <f t="shared" si="56"/>
        <v>0.11491692648045253</v>
      </c>
      <c r="O15" s="9">
        <f t="shared" si="56"/>
        <v>0.11638283247641525</v>
      </c>
      <c r="P15" s="9">
        <f t="shared" si="56"/>
        <v>0.11602838992133459</v>
      </c>
      <c r="Q15" s="9">
        <f t="shared" si="56"/>
        <v>0.11561312333937641</v>
      </c>
      <c r="R15" s="9">
        <f t="shared" si="56"/>
        <v>0.11574441456483477</v>
      </c>
      <c r="S15" s="9">
        <f t="shared" si="56"/>
        <v>0.11603352687682271</v>
      </c>
      <c r="T15" s="9">
        <f t="shared" si="56"/>
        <v>0.11581347562550498</v>
      </c>
      <c r="U15" s="9">
        <f t="shared" si="56"/>
        <v>0.11577312394265883</v>
      </c>
      <c r="V15" s="9">
        <f t="shared" si="56"/>
        <v>0.11586480854227742</v>
      </c>
      <c r="W15" s="9">
        <f t="shared" si="56"/>
        <v>0.11588284235082726</v>
      </c>
      <c r="X15" s="9">
        <f t="shared" si="56"/>
        <v>0.11581579425839295</v>
      </c>
      <c r="Y15" s="9">
        <f t="shared" si="56"/>
        <v>0.11583456134980198</v>
      </c>
      <c r="Z15" s="9">
        <f t="shared" si="56"/>
        <v>0.11585750400905702</v>
      </c>
      <c r="AA15" s="9">
        <f t="shared" si="56"/>
        <v>0.11584599960248422</v>
      </c>
      <c r="AB15" s="9">
        <f t="shared" si="56"/>
        <v>0.11583430687910214</v>
      </c>
      <c r="AC15" s="9">
        <f t="shared" si="56"/>
        <v>0.11584540741766935</v>
      </c>
      <c r="AD15" s="9">
        <f t="shared" si="56"/>
        <v>0.11584711113773041</v>
      </c>
      <c r="AE15" s="9">
        <f t="shared" si="56"/>
        <v>0.11584179836121745</v>
      </c>
      <c r="AF15" s="9">
        <f t="shared" si="56"/>
        <v>0.11584176728169927</v>
      </c>
      <c r="AG15" s="9">
        <f t="shared" si="56"/>
        <v>0.11584491818180713</v>
      </c>
      <c r="AH15" s="9">
        <f t="shared" ref="AH15:AY15" si="57">AH6/AH$8</f>
        <v>0.11584381318500617</v>
      </c>
      <c r="AI15" s="9">
        <f t="shared" si="57"/>
        <v>0.11584266250424695</v>
      </c>
      <c r="AJ15" s="9">
        <f t="shared" si="57"/>
        <v>0.11584342712946794</v>
      </c>
      <c r="AK15" s="9">
        <f t="shared" si="57"/>
        <v>0.11584389371085838</v>
      </c>
      <c r="AL15" s="9">
        <f t="shared" si="57"/>
        <v>0.1158433186603666</v>
      </c>
      <c r="AM15" s="9">
        <f t="shared" si="57"/>
        <v>0.1158432692740108</v>
      </c>
      <c r="AN15" s="9">
        <f t="shared" si="57"/>
        <v>0.1158435560457021</v>
      </c>
      <c r="AO15" s="9">
        <f t="shared" si="57"/>
        <v>0.11584351964117741</v>
      </c>
      <c r="AP15" s="9">
        <f t="shared" si="57"/>
        <v>0.11584337066068896</v>
      </c>
      <c r="AQ15" s="9">
        <f t="shared" si="57"/>
        <v>0.11584343706015623</v>
      </c>
      <c r="AR15" s="9">
        <f t="shared" si="57"/>
        <v>0.1158434912499553</v>
      </c>
      <c r="AS15" s="9">
        <f t="shared" si="57"/>
        <v>0.11584344541530993</v>
      </c>
      <c r="AT15" s="9">
        <f t="shared" si="57"/>
        <v>0.11584342771852157</v>
      </c>
      <c r="AU15" s="9">
        <f t="shared" si="57"/>
        <v>0.11584345764036952</v>
      </c>
      <c r="AV15" s="9">
        <f t="shared" si="57"/>
        <v>0.11584345770494341</v>
      </c>
      <c r="AW15" s="9">
        <f t="shared" si="57"/>
        <v>0.11584344286403066</v>
      </c>
      <c r="AX15" s="9">
        <f t="shared" si="57"/>
        <v>0.11584344643204336</v>
      </c>
      <c r="AY15" s="9">
        <f t="shared" si="57"/>
        <v>0.11584345341946167</v>
      </c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Y15" s="18"/>
      <c r="CZ15" s="18"/>
      <c r="DA15" s="18"/>
      <c r="DB15" s="18"/>
      <c r="DE15" s="18"/>
      <c r="DF15" s="18"/>
      <c r="DG15" s="18"/>
      <c r="DH15" s="18"/>
    </row>
    <row r="16" spans="1:112">
      <c r="CY16" s="18"/>
      <c r="CZ16" s="18"/>
      <c r="DA16" s="18"/>
      <c r="DB16" s="18"/>
      <c r="DE16" s="18"/>
      <c r="DF16" s="18"/>
      <c r="DG16" s="18"/>
      <c r="DH16" s="18"/>
    </row>
    <row r="17" spans="1:112" ht="15">
      <c r="A17" s="15" t="s">
        <v>1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Y17" s="18"/>
      <c r="CZ17" s="18"/>
      <c r="DA17" s="18"/>
      <c r="DB17" s="18"/>
      <c r="DE17" s="18"/>
      <c r="DF17" s="18"/>
      <c r="DG17" s="18"/>
      <c r="DH17" s="18"/>
    </row>
    <row r="18" spans="1:112">
      <c r="A18" s="4">
        <v>0</v>
      </c>
      <c r="C18" s="17">
        <f>ABS(C12-B12)</f>
        <v>9.8019801980198051E-2</v>
      </c>
      <c r="D18" s="17">
        <f t="shared" ref="D18:AY19" si="58">ABS(D12-C12)</f>
        <v>2.4311342025291671E-2</v>
      </c>
      <c r="E18" s="17">
        <f t="shared" si="58"/>
        <v>1.7570108152860142E-2</v>
      </c>
      <c r="F18" s="17">
        <f t="shared" si="58"/>
        <v>3.857134857668254E-4</v>
      </c>
      <c r="G18" s="17">
        <f t="shared" si="58"/>
        <v>2.104103333540519E-2</v>
      </c>
      <c r="H18" s="17">
        <f t="shared" si="58"/>
        <v>1.344640071544434E-2</v>
      </c>
      <c r="I18" s="17">
        <f t="shared" si="58"/>
        <v>1.915365978828576E-3</v>
      </c>
      <c r="J18" s="17">
        <f t="shared" si="58"/>
        <v>3.9179517270840347E-3</v>
      </c>
      <c r="K18" s="17">
        <f t="shared" si="58"/>
        <v>2.3020050144888504E-3</v>
      </c>
      <c r="L18" s="17">
        <f t="shared" si="58"/>
        <v>4.2395071257440575E-3</v>
      </c>
      <c r="M18" s="17">
        <f t="shared" si="58"/>
        <v>1.0250737373815322E-3</v>
      </c>
      <c r="N18" s="17">
        <f t="shared" si="58"/>
        <v>1.2009812621981975E-3</v>
      </c>
      <c r="O18" s="17">
        <f t="shared" si="58"/>
        <v>3.7970380598179032E-4</v>
      </c>
      <c r="P18" s="17">
        <f t="shared" si="58"/>
        <v>8.3613390639575291E-4</v>
      </c>
      <c r="Q18" s="17">
        <f t="shared" si="58"/>
        <v>6.3640427869160465E-4</v>
      </c>
      <c r="R18" s="17">
        <f t="shared" si="58"/>
        <v>1.1670001175601019E-4</v>
      </c>
      <c r="S18" s="17">
        <f t="shared" si="58"/>
        <v>2.6515855346426198E-4</v>
      </c>
      <c r="T18" s="17">
        <f t="shared" si="58"/>
        <v>5.2155090477679078E-5</v>
      </c>
      <c r="U18" s="17">
        <f t="shared" si="58"/>
        <v>1.9390797665452819E-4</v>
      </c>
      <c r="V18" s="17">
        <f t="shared" si="58"/>
        <v>5.4275798023473154E-5</v>
      </c>
      <c r="W18" s="17">
        <f t="shared" si="58"/>
        <v>6.6351844977219354E-5</v>
      </c>
      <c r="X18" s="17">
        <f t="shared" si="58"/>
        <v>3.3271583428251539E-5</v>
      </c>
      <c r="Y18" s="17">
        <f t="shared" si="58"/>
        <v>3.3816209384696094E-5</v>
      </c>
      <c r="Z18" s="17">
        <f t="shared" si="58"/>
        <v>3.210356768090783E-5</v>
      </c>
      <c r="AA18" s="17">
        <f t="shared" si="58"/>
        <v>4.9272827581936518E-6</v>
      </c>
      <c r="AB18" s="17">
        <f t="shared" si="58"/>
        <v>1.5364937415052182E-5</v>
      </c>
      <c r="AC18" s="17">
        <f t="shared" si="58"/>
        <v>8.9884234721893108E-8</v>
      </c>
      <c r="AD18" s="17">
        <f t="shared" si="58"/>
        <v>9.112633072350107E-6</v>
      </c>
      <c r="AE18" s="17">
        <f t="shared" si="58"/>
        <v>3.1957313937347465E-6</v>
      </c>
      <c r="AF18" s="17">
        <f t="shared" si="58"/>
        <v>3.3278527352131881E-6</v>
      </c>
      <c r="AG18" s="17">
        <f t="shared" si="58"/>
        <v>2.2113519432820361E-6</v>
      </c>
      <c r="AH18" s="17">
        <f t="shared" si="58"/>
        <v>1.3493874334580269E-6</v>
      </c>
      <c r="AI18" s="17">
        <f t="shared" si="58"/>
        <v>1.6630879908774432E-6</v>
      </c>
      <c r="AJ18" s="17">
        <f t="shared" si="58"/>
        <v>1.4282894528205858E-7</v>
      </c>
      <c r="AK18" s="17">
        <f t="shared" si="58"/>
        <v>8.2936466055949509E-7</v>
      </c>
      <c r="AL18" s="17">
        <f t="shared" si="58"/>
        <v>1.0528454230662732E-7</v>
      </c>
      <c r="AM18" s="17">
        <f t="shared" si="58"/>
        <v>4.308624456106358E-7</v>
      </c>
      <c r="AN18" s="17">
        <f t="shared" si="58"/>
        <v>1.9203210538387694E-7</v>
      </c>
      <c r="AO18" s="17">
        <f t="shared" si="58"/>
        <v>1.5672085379447864E-7</v>
      </c>
      <c r="AP18" s="17">
        <f t="shared" si="58"/>
        <v>1.3255713948723269E-7</v>
      </c>
      <c r="AQ18" s="17">
        <f t="shared" si="58"/>
        <v>5.1180403470851843E-8</v>
      </c>
      <c r="AR18" s="17">
        <f t="shared" si="58"/>
        <v>8.6536168009132552E-8</v>
      </c>
      <c r="AS18" s="17">
        <f t="shared" si="58"/>
        <v>1.8675233581788575E-10</v>
      </c>
      <c r="AT18" s="17">
        <f t="shared" si="58"/>
        <v>4.2921002751938886E-8</v>
      </c>
      <c r="AU18" s="17">
        <f t="shared" si="58"/>
        <v>1.0318953191923441E-8</v>
      </c>
      <c r="AV18" s="17">
        <f t="shared" si="58"/>
        <v>2.0208123729936744E-8</v>
      </c>
      <c r="AW18" s="17">
        <f t="shared" si="58"/>
        <v>1.137411409501965E-8</v>
      </c>
      <c r="AX18" s="17">
        <f t="shared" si="58"/>
        <v>6.9841735728104481E-9</v>
      </c>
      <c r="AY18" s="17">
        <f t="shared" si="58"/>
        <v>7.5262283072419223E-9</v>
      </c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Y18" s="18"/>
      <c r="CZ18" s="18"/>
      <c r="DA18" s="18"/>
      <c r="DB18" s="18"/>
      <c r="DE18" s="18"/>
      <c r="DF18" s="18"/>
      <c r="DG18" s="18"/>
      <c r="DH18" s="18"/>
    </row>
    <row r="19" spans="1:112">
      <c r="A19" s="4">
        <f>A18+1</f>
        <v>1</v>
      </c>
      <c r="C19" s="17">
        <f>ABS(C13-B13)</f>
        <v>7.623762376237625E-2</v>
      </c>
      <c r="D19" s="17">
        <f t="shared" ref="D19:R19" si="59">ABS(D13-C13)</f>
        <v>9.2196843446720911E-2</v>
      </c>
      <c r="E19" s="17">
        <f t="shared" si="59"/>
        <v>2.2867103885175322E-2</v>
      </c>
      <c r="F19" s="17">
        <f t="shared" si="59"/>
        <v>1.6526339351700114E-2</v>
      </c>
      <c r="G19" s="17">
        <f t="shared" si="59"/>
        <v>3.6279981334508271E-4</v>
      </c>
      <c r="H19" s="17">
        <f t="shared" si="59"/>
        <v>1.9791070959044532E-2</v>
      </c>
      <c r="I19" s="17">
        <f t="shared" si="59"/>
        <v>1.2647604633338749E-2</v>
      </c>
      <c r="J19" s="17">
        <f t="shared" si="59"/>
        <v>1.8015818612743817E-3</v>
      </c>
      <c r="K19" s="17">
        <f t="shared" si="59"/>
        <v>3.6852021195345475E-3</v>
      </c>
      <c r="L19" s="17">
        <f t="shared" si="59"/>
        <v>2.1652522413508901E-3</v>
      </c>
      <c r="M19" s="17">
        <f t="shared" si="59"/>
        <v>3.987655217284114E-3</v>
      </c>
      <c r="N19" s="17">
        <f t="shared" si="59"/>
        <v>9.6417826783418148E-4</v>
      </c>
      <c r="O19" s="17">
        <f t="shared" si="59"/>
        <v>1.1296358406813756E-3</v>
      </c>
      <c r="P19" s="17">
        <f t="shared" si="59"/>
        <v>3.5714714424028848E-4</v>
      </c>
      <c r="Q19" s="17">
        <f t="shared" si="59"/>
        <v>7.8646258522374612E-4</v>
      </c>
      <c r="R19" s="17">
        <f t="shared" si="59"/>
        <v>5.985980839179339E-4</v>
      </c>
      <c r="S19" s="17">
        <f t="shared" si="58"/>
        <v>1.0976733779027859E-4</v>
      </c>
      <c r="T19" s="17">
        <f t="shared" si="58"/>
        <v>2.4940656018912488E-4</v>
      </c>
      <c r="U19" s="17">
        <f t="shared" si="58"/>
        <v>4.9056768271105167E-5</v>
      </c>
      <c r="V19" s="17">
        <f t="shared" si="58"/>
        <v>1.8238869091269372E-4</v>
      </c>
      <c r="W19" s="17">
        <f t="shared" si="58"/>
        <v>5.1051493190457098E-5</v>
      </c>
      <c r="X19" s="17">
        <f t="shared" si="58"/>
        <v>6.2410151216218956E-5</v>
      </c>
      <c r="Y19" s="17">
        <f t="shared" si="58"/>
        <v>3.1295053719793131E-5</v>
      </c>
      <c r="Z19" s="17">
        <f t="shared" si="58"/>
        <v>3.1807325658828045E-5</v>
      </c>
      <c r="AA19" s="17">
        <f t="shared" si="58"/>
        <v>3.0196425046369324E-5</v>
      </c>
      <c r="AB19" s="17">
        <f t="shared" si="58"/>
        <v>4.6345728914043427E-6</v>
      </c>
      <c r="AC19" s="17">
        <f t="shared" si="58"/>
        <v>1.4452168855594305E-5</v>
      </c>
      <c r="AD19" s="17">
        <f t="shared" si="58"/>
        <v>8.4544577338974136E-8</v>
      </c>
      <c r="AE19" s="17">
        <f t="shared" si="58"/>
        <v>8.5712885333766309E-6</v>
      </c>
      <c r="AF19" s="17">
        <f t="shared" si="58"/>
        <v>3.0058859644133129E-6</v>
      </c>
      <c r="AG19" s="17">
        <f t="shared" si="58"/>
        <v>3.1301585132759158E-6</v>
      </c>
      <c r="AH19" s="17">
        <f t="shared" si="58"/>
        <v>2.0799845010799345E-6</v>
      </c>
      <c r="AI19" s="17">
        <f t="shared" si="58"/>
        <v>1.2692258037905191E-6</v>
      </c>
      <c r="AJ19" s="17">
        <f t="shared" si="58"/>
        <v>1.5642906844859361E-6</v>
      </c>
      <c r="AK19" s="17">
        <f t="shared" si="58"/>
        <v>1.3434405748968814E-7</v>
      </c>
      <c r="AL19" s="17">
        <f t="shared" si="58"/>
        <v>7.8009547288537817E-7</v>
      </c>
      <c r="AM19" s="17">
        <f t="shared" si="58"/>
        <v>9.9030015132672844E-8</v>
      </c>
      <c r="AN19" s="17">
        <f t="shared" si="58"/>
        <v>4.0526665673334961E-7</v>
      </c>
      <c r="AO19" s="17">
        <f t="shared" si="58"/>
        <v>1.8062425755083211E-7</v>
      </c>
      <c r="AP19" s="17">
        <f t="shared" si="58"/>
        <v>1.4741070408774704E-7</v>
      </c>
      <c r="AQ19" s="17">
        <f t="shared" si="58"/>
        <v>1.246824579692607E-7</v>
      </c>
      <c r="AR19" s="17">
        <f t="shared" si="58"/>
        <v>4.8139983443995504E-8</v>
      </c>
      <c r="AS19" s="17">
        <f t="shared" si="58"/>
        <v>8.1395405526762943E-8</v>
      </c>
      <c r="AT19" s="17">
        <f t="shared" si="58"/>
        <v>1.7565815468856272E-10</v>
      </c>
      <c r="AU19" s="17">
        <f t="shared" si="58"/>
        <v>4.0371240239700512E-8</v>
      </c>
      <c r="AV19" s="17">
        <f t="shared" si="58"/>
        <v>9.7059461023896176E-9</v>
      </c>
      <c r="AW19" s="17">
        <f t="shared" si="58"/>
        <v>1.9007641127721797E-8</v>
      </c>
      <c r="AX19" s="17">
        <f t="shared" si="58"/>
        <v>1.0698424146582397E-8</v>
      </c>
      <c r="AY19" s="17">
        <f t="shared" si="58"/>
        <v>6.5692721817889321E-9</v>
      </c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Y19" s="18"/>
      <c r="CZ19" s="18"/>
      <c r="DA19" s="18"/>
      <c r="DB19" s="18"/>
      <c r="DE19" s="18"/>
      <c r="DF19" s="18"/>
      <c r="DG19" s="18"/>
      <c r="DH19" s="18"/>
    </row>
    <row r="20" spans="1:112">
      <c r="A20" s="4">
        <f t="shared" ref="A20:A21" si="60">A19+1</f>
        <v>2</v>
      </c>
      <c r="C20" s="17">
        <f>ABS(C14-B14)</f>
        <v>2.2772277227722765E-2</v>
      </c>
      <c r="D20" s="17">
        <f t="shared" ref="D20:R20" si="61">ABS(D14-C14)</f>
        <v>5.6612096853249666E-2</v>
      </c>
      <c r="E20" s="17">
        <f t="shared" si="61"/>
        <v>6.8463002559446207E-2</v>
      </c>
      <c r="F20" s="17">
        <f t="shared" si="61"/>
        <v>1.6980522687011335E-2</v>
      </c>
      <c r="G20" s="17">
        <f t="shared" si="61"/>
        <v>1.2272034172054608E-2</v>
      </c>
      <c r="H20" s="17">
        <f t="shared" si="61"/>
        <v>2.6940580198892006E-4</v>
      </c>
      <c r="I20" s="17">
        <f t="shared" si="61"/>
        <v>1.4696339821072657E-2</v>
      </c>
      <c r="J20" s="17">
        <f t="shared" si="61"/>
        <v>9.3917856188158733E-3</v>
      </c>
      <c r="K20" s="17">
        <f t="shared" si="61"/>
        <v>1.3378083128274543E-3</v>
      </c>
      <c r="L20" s="17">
        <f t="shared" si="61"/>
        <v>2.7365362273770455E-3</v>
      </c>
      <c r="M20" s="17">
        <f t="shared" si="61"/>
        <v>1.6078605752606057E-3</v>
      </c>
      <c r="N20" s="17">
        <f t="shared" si="61"/>
        <v>2.9611301118446509E-3</v>
      </c>
      <c r="O20" s="17">
        <f t="shared" si="61"/>
        <v>7.15973961262939E-4</v>
      </c>
      <c r="P20" s="17">
        <f t="shared" si="61"/>
        <v>8.3883849555549395E-4</v>
      </c>
      <c r="Q20" s="17">
        <f t="shared" si="61"/>
        <v>2.6520827542592107E-4</v>
      </c>
      <c r="R20" s="17">
        <f t="shared" si="61"/>
        <v>5.8400687021559206E-4</v>
      </c>
      <c r="S20" s="17">
        <f t="shared" ref="S20:AX20" si="62">ABS(S14-R14)</f>
        <v>4.4450352766181589E-4</v>
      </c>
      <c r="T20" s="17">
        <f t="shared" si="62"/>
        <v>8.1510399349199458E-5</v>
      </c>
      <c r="U20" s="17">
        <f t="shared" si="62"/>
        <v>1.852028912295578E-4</v>
      </c>
      <c r="V20" s="17">
        <f t="shared" si="62"/>
        <v>3.6428293270635015E-5</v>
      </c>
      <c r="W20" s="17">
        <f t="shared" si="62"/>
        <v>1.3543714671732099E-4</v>
      </c>
      <c r="X20" s="17">
        <f t="shared" si="62"/>
        <v>3.7909524646356774E-5</v>
      </c>
      <c r="Y20" s="17">
        <f t="shared" si="62"/>
        <v>4.6344171695106295E-5</v>
      </c>
      <c r="Z20" s="17">
        <f t="shared" si="62"/>
        <v>2.3238901277033985E-5</v>
      </c>
      <c r="AA20" s="17">
        <f t="shared" si="62"/>
        <v>2.3619301231764256E-5</v>
      </c>
      <c r="AB20" s="17">
        <f t="shared" si="62"/>
        <v>2.2423087905676375E-5</v>
      </c>
      <c r="AC20" s="17">
        <f t="shared" si="62"/>
        <v>3.4415145233890332E-6</v>
      </c>
      <c r="AD20" s="17">
        <f t="shared" si="62"/>
        <v>1.0731808556180278E-5</v>
      </c>
      <c r="AE20" s="17">
        <f t="shared" si="62"/>
        <v>6.2780626697289676E-8</v>
      </c>
      <c r="AF20" s="17">
        <f t="shared" si="62"/>
        <v>6.3648182178355217E-6</v>
      </c>
      <c r="AG20" s="17">
        <f t="shared" si="62"/>
        <v>2.2320935379183116E-6</v>
      </c>
      <c r="AH20" s="17">
        <f t="shared" si="62"/>
        <v>2.324375133644363E-6</v>
      </c>
      <c r="AI20" s="17">
        <f t="shared" si="62"/>
        <v>1.5445429463745164E-6</v>
      </c>
      <c r="AJ20" s="17">
        <f t="shared" si="62"/>
        <v>9.4249440873994672E-7</v>
      </c>
      <c r="AK20" s="17">
        <f t="shared" si="62"/>
        <v>1.1616019934546085E-6</v>
      </c>
      <c r="AL20" s="17">
        <f t="shared" si="62"/>
        <v>9.9760438659890482E-8</v>
      </c>
      <c r="AM20" s="17">
        <f t="shared" si="62"/>
        <v>5.7927881638719647E-7</v>
      </c>
      <c r="AN20" s="17">
        <f t="shared" si="62"/>
        <v>7.3537139849699784E-8</v>
      </c>
      <c r="AO20" s="17">
        <f t="shared" si="62"/>
        <v>3.0094058672824886E-7</v>
      </c>
      <c r="AP20" s="17">
        <f t="shared" si="62"/>
        <v>1.3412692398406811E-7</v>
      </c>
      <c r="AQ20" s="17">
        <f t="shared" si="62"/>
        <v>1.0946339407125194E-7</v>
      </c>
      <c r="AR20" s="17">
        <f t="shared" si="62"/>
        <v>9.2585983657578197E-8</v>
      </c>
      <c r="AS20" s="17">
        <f t="shared" si="62"/>
        <v>3.5747512450168273E-8</v>
      </c>
      <c r="AT20" s="17">
        <f t="shared" si="62"/>
        <v>6.0442132826521444E-8</v>
      </c>
      <c r="AU20" s="17">
        <f t="shared" si="62"/>
        <v>1.3043924274036556E-10</v>
      </c>
      <c r="AV20" s="17">
        <f t="shared" si="62"/>
        <v>2.9978643734107635E-8</v>
      </c>
      <c r="AW20" s="17">
        <f t="shared" si="62"/>
        <v>7.2073856882681753E-9</v>
      </c>
      <c r="AX20" s="17">
        <f t="shared" si="62"/>
        <v>1.4114585000779556E-8</v>
      </c>
      <c r="AY20" s="17">
        <f t="shared" ref="AY20" si="63">ABS(AY14-AX14)</f>
        <v>7.9443743805640565E-9</v>
      </c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Y20" s="18"/>
      <c r="CZ20" s="18"/>
      <c r="DA20" s="18"/>
      <c r="DB20" s="18"/>
      <c r="DE20" s="18"/>
      <c r="DF20" s="18"/>
      <c r="DG20" s="18"/>
      <c r="DH20" s="18"/>
    </row>
    <row r="21" spans="1:112">
      <c r="A21" s="4">
        <f t="shared" si="60"/>
        <v>3</v>
      </c>
      <c r="C21" s="17">
        <f>ABS(C15-B15)</f>
        <v>9.9009900990099098E-4</v>
      </c>
      <c r="D21" s="17">
        <f t="shared" ref="D21:R21" si="64">ABS(D15-C15)</f>
        <v>1.1273404568179587E-2</v>
      </c>
      <c r="E21" s="17">
        <f t="shared" si="64"/>
        <v>2.8025790521410729E-2</v>
      </c>
      <c r="F21" s="17">
        <f t="shared" si="64"/>
        <v>3.389257552447833E-2</v>
      </c>
      <c r="G21" s="17">
        <f t="shared" si="64"/>
        <v>8.4061993500056248E-3</v>
      </c>
      <c r="H21" s="17">
        <f t="shared" si="64"/>
        <v>6.0752644416112028E-3</v>
      </c>
      <c r="I21" s="17">
        <f t="shared" si="64"/>
        <v>1.3336920890538728E-4</v>
      </c>
      <c r="J21" s="17">
        <f t="shared" si="64"/>
        <v>7.2754157530062757E-3</v>
      </c>
      <c r="K21" s="17">
        <f t="shared" si="64"/>
        <v>4.6493988211959714E-3</v>
      </c>
      <c r="L21" s="17">
        <f t="shared" si="64"/>
        <v>6.6228134298390584E-4</v>
      </c>
      <c r="M21" s="17">
        <f t="shared" si="64"/>
        <v>1.354720904642101E-3</v>
      </c>
      <c r="N21" s="17">
        <f t="shared" si="64"/>
        <v>7.9597058181218872E-4</v>
      </c>
      <c r="O21" s="17">
        <f t="shared" si="64"/>
        <v>1.4659059959627185E-3</v>
      </c>
      <c r="P21" s="17">
        <f t="shared" si="64"/>
        <v>3.5444255508065847E-4</v>
      </c>
      <c r="Q21" s="17">
        <f t="shared" si="64"/>
        <v>4.1526658195817356E-4</v>
      </c>
      <c r="R21" s="17">
        <f t="shared" si="64"/>
        <v>1.3129122545835203E-4</v>
      </c>
      <c r="S21" s="17">
        <f t="shared" ref="S21:AX21" si="65">ABS(S15-R15)</f>
        <v>2.8911231198794352E-4</v>
      </c>
      <c r="T21" s="17">
        <f t="shared" si="65"/>
        <v>2.200512513177294E-4</v>
      </c>
      <c r="U21" s="17">
        <f t="shared" si="65"/>
        <v>4.0351682846148651E-5</v>
      </c>
      <c r="V21" s="17">
        <f t="shared" si="65"/>
        <v>9.1684599618585549E-5</v>
      </c>
      <c r="W21" s="17">
        <f t="shared" si="65"/>
        <v>1.8033808549838826E-5</v>
      </c>
      <c r="X21" s="17">
        <f t="shared" si="65"/>
        <v>6.7048092434310314E-5</v>
      </c>
      <c r="Y21" s="17">
        <f t="shared" si="65"/>
        <v>1.8767091409035985E-5</v>
      </c>
      <c r="Z21" s="17">
        <f t="shared" si="65"/>
        <v>2.2942659255037468E-5</v>
      </c>
      <c r="AA21" s="17">
        <f t="shared" si="65"/>
        <v>1.150440657279872E-5</v>
      </c>
      <c r="AB21" s="17">
        <f t="shared" si="65"/>
        <v>1.1692723382084047E-5</v>
      </c>
      <c r="AC21" s="17">
        <f t="shared" si="65"/>
        <v>1.1100538567218599E-5</v>
      </c>
      <c r="AD21" s="17">
        <f t="shared" si="65"/>
        <v>1.7037200610581227E-6</v>
      </c>
      <c r="AE21" s="17">
        <f t="shared" si="65"/>
        <v>5.3127765129584725E-6</v>
      </c>
      <c r="AF21" s="17">
        <f t="shared" si="65"/>
        <v>3.1079518181265087E-8</v>
      </c>
      <c r="AG21" s="17">
        <f t="shared" si="65"/>
        <v>3.1509001078566801E-6</v>
      </c>
      <c r="AH21" s="17">
        <f t="shared" si="65"/>
        <v>1.1049968009629874E-6</v>
      </c>
      <c r="AI21" s="17">
        <f t="shared" si="65"/>
        <v>1.1506807592182033E-6</v>
      </c>
      <c r="AJ21" s="17">
        <f t="shared" si="65"/>
        <v>7.6462522098641461E-7</v>
      </c>
      <c r="AK21" s="17">
        <f t="shared" si="65"/>
        <v>4.6658139044031266E-7</v>
      </c>
      <c r="AL21" s="17">
        <f t="shared" si="65"/>
        <v>5.750504917800825E-7</v>
      </c>
      <c r="AM21" s="17">
        <f t="shared" si="65"/>
        <v>4.9386355796543491E-8</v>
      </c>
      <c r="AN21" s="17">
        <f t="shared" si="65"/>
        <v>2.8677169129631697E-7</v>
      </c>
      <c r="AO21" s="17">
        <f t="shared" si="65"/>
        <v>3.6404524686450834E-8</v>
      </c>
      <c r="AP21" s="17">
        <f t="shared" si="65"/>
        <v>1.4898048844580458E-7</v>
      </c>
      <c r="AQ21" s="17">
        <f t="shared" si="65"/>
        <v>6.6399467271716084E-8</v>
      </c>
      <c r="AR21" s="17">
        <f t="shared" si="65"/>
        <v>5.4189799064685573E-8</v>
      </c>
      <c r="AS21" s="17">
        <f t="shared" si="65"/>
        <v>4.5834645370779192E-8</v>
      </c>
      <c r="AT21" s="17">
        <f t="shared" si="65"/>
        <v>1.7696788354171211E-8</v>
      </c>
      <c r="AU21" s="17">
        <f t="shared" si="65"/>
        <v>2.9921847943814583E-8</v>
      </c>
      <c r="AV21" s="17">
        <f t="shared" si="65"/>
        <v>6.4573887903485172E-11</v>
      </c>
      <c r="AW21" s="17">
        <f t="shared" si="65"/>
        <v>1.4840912748725898E-8</v>
      </c>
      <c r="AX21" s="17">
        <f t="shared" si="65"/>
        <v>3.5680127047355015E-9</v>
      </c>
      <c r="AY21" s="17">
        <f t="shared" ref="AY21" si="66">ABS(AY15-AX15)</f>
        <v>6.9874183106222176E-9</v>
      </c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Y21" s="18"/>
      <c r="CZ21" s="18"/>
      <c r="DA21" s="18"/>
      <c r="DB21" s="18"/>
      <c r="DE21" s="18"/>
      <c r="DF21" s="18"/>
      <c r="DG21" s="18"/>
      <c r="DH21" s="18"/>
    </row>
    <row r="22" spans="1:112">
      <c r="CY22" s="18"/>
      <c r="CZ22" s="18"/>
      <c r="DA22" s="18"/>
      <c r="DB22" s="18"/>
      <c r="DE22" s="18"/>
      <c r="DF22" s="18"/>
      <c r="DG22" s="18"/>
      <c r="DH22" s="18"/>
    </row>
    <row r="23" spans="1:112" ht="15">
      <c r="A23" s="15" t="s">
        <v>3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Y23" s="18"/>
      <c r="CZ23" s="18"/>
      <c r="DA23" s="18"/>
      <c r="DB23" s="18"/>
      <c r="DE23" s="18"/>
      <c r="DF23" s="18"/>
      <c r="DG23" s="18"/>
      <c r="DH23" s="18"/>
    </row>
    <row r="24" spans="1:112">
      <c r="A24" s="4">
        <v>0</v>
      </c>
      <c r="C24" s="12">
        <f>C3/B3-1</f>
        <v>-0.23750000000000004</v>
      </c>
      <c r="D24" s="12">
        <f t="shared" ref="C24:D27" si="67">D3/C3-1</f>
        <v>9.1311475409836085E-2</v>
      </c>
      <c r="E24" s="12">
        <f t="shared" ref="E24:AY25" si="68">E3/D3-1</f>
        <v>6.4386360222322248E-2</v>
      </c>
      <c r="F24" s="12">
        <f t="shared" si="68"/>
        <v>1.113292838170854E-2</v>
      </c>
      <c r="G24" s="12">
        <f t="shared" si="68"/>
        <v>-5.173306184488391E-2</v>
      </c>
      <c r="H24" s="12">
        <f t="shared" si="68"/>
        <v>5.2019179488227207E-2</v>
      </c>
      <c r="I24" s="12">
        <f t="shared" si="68"/>
        <v>1.5746335828011215E-2</v>
      </c>
      <c r="J24" s="12">
        <f t="shared" si="68"/>
        <v>-1.6878444906543999E-3</v>
      </c>
      <c r="K24" s="12">
        <f t="shared" si="68"/>
        <v>3.0523709280421141E-3</v>
      </c>
      <c r="L24" s="12">
        <f t="shared" si="68"/>
        <v>2.2883785716059313E-2</v>
      </c>
      <c r="M24" s="12">
        <f t="shared" si="68"/>
        <v>6.9240568130697344E-3</v>
      </c>
      <c r="N24" s="12">
        <f t="shared" si="68"/>
        <v>6.385201517816963E-3</v>
      </c>
      <c r="O24" s="12">
        <f t="shared" si="68"/>
        <v>1.1146964409254112E-2</v>
      </c>
      <c r="P24" s="12">
        <f t="shared" si="68"/>
        <v>1.2522829600077445E-2</v>
      </c>
      <c r="Q24" s="12">
        <f t="shared" si="68"/>
        <v>8.0845901196571202E-3</v>
      </c>
      <c r="R24" s="12">
        <f t="shared" si="68"/>
        <v>9.6480962214933186E-3</v>
      </c>
      <c r="S24" s="12">
        <f t="shared" si="68"/>
        <v>1.0799852698633705E-2</v>
      </c>
      <c r="T24" s="12">
        <f t="shared" si="68"/>
        <v>1.015720171520984E-2</v>
      </c>
      <c r="U24" s="12">
        <f t="shared" si="68"/>
        <v>9.4156289923088554E-3</v>
      </c>
      <c r="V24" s="12">
        <f t="shared" si="68"/>
        <v>1.0163663017160429E-2</v>
      </c>
      <c r="W24" s="12">
        <f t="shared" si="68"/>
        <v>1.0200044663505992E-2</v>
      </c>
      <c r="X24" s="12">
        <f t="shared" si="68"/>
        <v>9.8997091233936629E-3</v>
      </c>
      <c r="Y24" s="12">
        <f t="shared" si="68"/>
        <v>9.8980573290714524E-3</v>
      </c>
      <c r="Z24" s="12">
        <f t="shared" si="68"/>
        <v>1.0096789494018932E-2</v>
      </c>
      <c r="AA24" s="12">
        <f t="shared" si="68"/>
        <v>1.0014853910051524E-2</v>
      </c>
      <c r="AB24" s="12">
        <f t="shared" si="68"/>
        <v>9.9536811559184368E-3</v>
      </c>
      <c r="AC24" s="12">
        <f t="shared" si="68"/>
        <v>9.9997290242916925E-3</v>
      </c>
      <c r="AD24" s="12">
        <f t="shared" si="68"/>
        <v>1.002747203520471E-2</v>
      </c>
      <c r="AE24" s="12">
        <f t="shared" si="68"/>
        <v>9.9903660273883421E-3</v>
      </c>
      <c r="AF24" s="12">
        <f t="shared" si="68"/>
        <v>9.989967633705632E-3</v>
      </c>
      <c r="AG24" s="12">
        <f t="shared" si="68"/>
        <v>1.0006666554933208E-2</v>
      </c>
      <c r="AH24" s="12">
        <f t="shared" si="68"/>
        <v>1.00040679667035E-2</v>
      </c>
      <c r="AI24" s="12">
        <f t="shared" si="68"/>
        <v>9.9949863477641898E-3</v>
      </c>
      <c r="AJ24" s="12">
        <f t="shared" si="68"/>
        <v>9.9995694165193605E-3</v>
      </c>
      <c r="AK24" s="12">
        <f t="shared" si="68"/>
        <v>1.0002500269631787E-2</v>
      </c>
      <c r="AL24" s="12">
        <f t="shared" si="68"/>
        <v>9.9996826015082974E-3</v>
      </c>
      <c r="AM24" s="12">
        <f t="shared" si="68"/>
        <v>9.9987010901101403E-3</v>
      </c>
      <c r="AN24" s="12">
        <f t="shared" si="68"/>
        <v>1.0000578914974412E-2</v>
      </c>
      <c r="AO24" s="12">
        <f t="shared" si="68"/>
        <v>1.0000472462648125E-2</v>
      </c>
      <c r="AP24" s="12">
        <f t="shared" si="68"/>
        <v>9.999600383316043E-3</v>
      </c>
      <c r="AQ24" s="12">
        <f t="shared" si="68"/>
        <v>9.9998457076602154E-3</v>
      </c>
      <c r="AR24" s="12">
        <f t="shared" si="68"/>
        <v>1.000026087855832E-2</v>
      </c>
      <c r="AS24" s="12">
        <f t="shared" si="68"/>
        <v>1.0000000562997657E-2</v>
      </c>
      <c r="AT24" s="12">
        <f t="shared" si="68"/>
        <v>9.9998706070920651E-3</v>
      </c>
      <c r="AU24" s="12">
        <f t="shared" si="68"/>
        <v>1.0000031108302387E-2</v>
      </c>
      <c r="AV24" s="12">
        <f t="shared" si="68"/>
        <v>1.0000060920947407E-2</v>
      </c>
      <c r="AW24" s="12">
        <f t="shared" si="68"/>
        <v>9.9999657107323614E-3</v>
      </c>
      <c r="AX24" s="12">
        <f t="shared" si="68"/>
        <v>9.999978944979615E-3</v>
      </c>
      <c r="AY24" s="12">
        <f t="shared" si="68"/>
        <v>1.0000022689140353E-2</v>
      </c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Y24" s="18"/>
      <c r="CZ24" s="18"/>
      <c r="DA24" s="18"/>
      <c r="DB24" s="18"/>
      <c r="DE24" s="18"/>
      <c r="DF24" s="18"/>
      <c r="DG24" s="18"/>
      <c r="DH24" s="18"/>
    </row>
    <row r="25" spans="1:112">
      <c r="A25" s="4">
        <f>A24+1</f>
        <v>1</v>
      </c>
      <c r="C25" s="12">
        <f t="shared" si="67"/>
        <v>0.26666666666666661</v>
      </c>
      <c r="D25" s="12">
        <f t="shared" si="67"/>
        <v>-0.23750000000000004</v>
      </c>
      <c r="E25" s="12">
        <f t="shared" ref="E25:R25" si="69">E4/D4-1</f>
        <v>9.1311475409836085E-2</v>
      </c>
      <c r="F25" s="12">
        <f t="shared" si="69"/>
        <v>6.4386360222322248E-2</v>
      </c>
      <c r="G25" s="12">
        <f t="shared" si="69"/>
        <v>1.113292838170854E-2</v>
      </c>
      <c r="H25" s="12">
        <f t="shared" si="69"/>
        <v>-5.1733061844884021E-2</v>
      </c>
      <c r="I25" s="12">
        <f t="shared" si="69"/>
        <v>5.2019179488227207E-2</v>
      </c>
      <c r="J25" s="12">
        <f t="shared" si="69"/>
        <v>1.5746335828011215E-2</v>
      </c>
      <c r="K25" s="12">
        <f t="shared" si="69"/>
        <v>-1.6878444906543999E-3</v>
      </c>
      <c r="L25" s="12">
        <f t="shared" si="69"/>
        <v>3.052370928041892E-3</v>
      </c>
      <c r="M25" s="12">
        <f t="shared" si="69"/>
        <v>2.2883785716059313E-2</v>
      </c>
      <c r="N25" s="12">
        <f t="shared" si="69"/>
        <v>6.9240568130697344E-3</v>
      </c>
      <c r="O25" s="12">
        <f t="shared" si="69"/>
        <v>6.385201517816963E-3</v>
      </c>
      <c r="P25" s="12">
        <f t="shared" si="69"/>
        <v>1.114696440925389E-2</v>
      </c>
      <c r="Q25" s="12">
        <f t="shared" si="69"/>
        <v>1.2522829600077445E-2</v>
      </c>
      <c r="R25" s="12">
        <f t="shared" si="69"/>
        <v>8.0845901196571202E-3</v>
      </c>
      <c r="S25" s="12">
        <f t="shared" si="68"/>
        <v>9.6480962214933186E-3</v>
      </c>
      <c r="T25" s="12">
        <f t="shared" si="68"/>
        <v>1.0799852698633483E-2</v>
      </c>
      <c r="U25" s="12">
        <f t="shared" si="68"/>
        <v>1.015720171520984E-2</v>
      </c>
      <c r="V25" s="12">
        <f t="shared" si="68"/>
        <v>9.4156289923088554E-3</v>
      </c>
      <c r="W25" s="12">
        <f t="shared" si="68"/>
        <v>1.0163663017160429E-2</v>
      </c>
      <c r="X25" s="12">
        <f t="shared" si="68"/>
        <v>1.0200044663505992E-2</v>
      </c>
      <c r="Y25" s="12">
        <f t="shared" si="68"/>
        <v>9.8997091233934409E-3</v>
      </c>
      <c r="Z25" s="12">
        <f t="shared" si="68"/>
        <v>9.8980573290712304E-3</v>
      </c>
      <c r="AA25" s="12">
        <f t="shared" si="68"/>
        <v>1.0096789494018932E-2</v>
      </c>
      <c r="AB25" s="12">
        <f t="shared" si="68"/>
        <v>1.0014853910051524E-2</v>
      </c>
      <c r="AC25" s="12">
        <f t="shared" si="68"/>
        <v>9.9536811559184368E-3</v>
      </c>
      <c r="AD25" s="12">
        <f t="shared" si="68"/>
        <v>9.9997290242916925E-3</v>
      </c>
      <c r="AE25" s="12">
        <f t="shared" si="68"/>
        <v>1.002747203520471E-2</v>
      </c>
      <c r="AF25" s="12">
        <f t="shared" si="68"/>
        <v>9.9903660273883421E-3</v>
      </c>
      <c r="AG25" s="12">
        <f t="shared" si="68"/>
        <v>9.989967633705632E-3</v>
      </c>
      <c r="AH25" s="12">
        <f t="shared" si="68"/>
        <v>1.0006666554933208E-2</v>
      </c>
      <c r="AI25" s="12">
        <f t="shared" si="68"/>
        <v>1.00040679667035E-2</v>
      </c>
      <c r="AJ25" s="12">
        <f t="shared" si="68"/>
        <v>9.9949863477639678E-3</v>
      </c>
      <c r="AK25" s="12">
        <f t="shared" si="68"/>
        <v>9.9995694165193605E-3</v>
      </c>
      <c r="AL25" s="12">
        <f t="shared" si="68"/>
        <v>1.0002500269631787E-2</v>
      </c>
      <c r="AM25" s="12">
        <f t="shared" si="68"/>
        <v>9.9996826015085194E-3</v>
      </c>
      <c r="AN25" s="12">
        <f t="shared" si="68"/>
        <v>9.9987010901101403E-3</v>
      </c>
      <c r="AO25" s="12">
        <f t="shared" si="68"/>
        <v>1.0000578914974412E-2</v>
      </c>
      <c r="AP25" s="12">
        <f t="shared" si="68"/>
        <v>1.0000472462648125E-2</v>
      </c>
      <c r="AQ25" s="12">
        <f t="shared" si="68"/>
        <v>9.999600383316265E-3</v>
      </c>
      <c r="AR25" s="12">
        <f t="shared" si="68"/>
        <v>9.9998457076602154E-3</v>
      </c>
      <c r="AS25" s="12">
        <f t="shared" si="68"/>
        <v>1.000026087855832E-2</v>
      </c>
      <c r="AT25" s="12">
        <f t="shared" si="68"/>
        <v>1.0000000562997879E-2</v>
      </c>
      <c r="AU25" s="12">
        <f t="shared" si="68"/>
        <v>9.9998706070920651E-3</v>
      </c>
      <c r="AV25" s="12">
        <f t="shared" si="68"/>
        <v>1.0000031108302387E-2</v>
      </c>
      <c r="AW25" s="12">
        <f t="shared" si="68"/>
        <v>1.0000060920947407E-2</v>
      </c>
      <c r="AX25" s="12">
        <f t="shared" si="68"/>
        <v>9.9999657107325834E-3</v>
      </c>
      <c r="AY25" s="12">
        <f t="shared" si="68"/>
        <v>9.999978944979393E-3</v>
      </c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Y25" s="18"/>
      <c r="CZ25" s="18"/>
      <c r="DA25" s="18"/>
      <c r="DB25" s="18"/>
      <c r="DE25" s="18"/>
      <c r="DF25" s="18"/>
      <c r="DG25" s="18"/>
      <c r="DH25" s="18"/>
    </row>
    <row r="26" spans="1:112">
      <c r="A26" s="4">
        <f t="shared" ref="A26:A27" si="70">A25+1</f>
        <v>2</v>
      </c>
      <c r="C26" s="12">
        <f t="shared" si="67"/>
        <v>0.125</v>
      </c>
      <c r="D26" s="12">
        <f t="shared" si="67"/>
        <v>0.26666666666666661</v>
      </c>
      <c r="E26" s="12">
        <f t="shared" ref="E26:R26" si="71">E5/D5-1</f>
        <v>-0.23750000000000004</v>
      </c>
      <c r="F26" s="12">
        <f t="shared" si="71"/>
        <v>9.1311475409836085E-2</v>
      </c>
      <c r="G26" s="12">
        <f t="shared" si="71"/>
        <v>6.438636022232247E-2</v>
      </c>
      <c r="H26" s="12">
        <f t="shared" si="71"/>
        <v>1.113292838170854E-2</v>
      </c>
      <c r="I26" s="12">
        <f t="shared" si="71"/>
        <v>-5.1733061844884021E-2</v>
      </c>
      <c r="J26" s="12">
        <f t="shared" si="71"/>
        <v>5.2019179488227207E-2</v>
      </c>
      <c r="K26" s="12">
        <f t="shared" si="71"/>
        <v>1.5746335828010993E-2</v>
      </c>
      <c r="L26" s="12">
        <f t="shared" si="71"/>
        <v>-1.6878444906541779E-3</v>
      </c>
      <c r="M26" s="12">
        <f t="shared" si="71"/>
        <v>3.05237092804167E-3</v>
      </c>
      <c r="N26" s="12">
        <f t="shared" si="71"/>
        <v>2.2883785716059535E-2</v>
      </c>
      <c r="O26" s="12">
        <f t="shared" si="71"/>
        <v>6.9240568130697344E-3</v>
      </c>
      <c r="P26" s="12">
        <f t="shared" si="71"/>
        <v>6.385201517816963E-3</v>
      </c>
      <c r="Q26" s="12">
        <f t="shared" si="71"/>
        <v>1.114696440925389E-2</v>
      </c>
      <c r="R26" s="12">
        <f t="shared" si="71"/>
        <v>1.2522829600077445E-2</v>
      </c>
      <c r="S26" s="12">
        <f t="shared" ref="S26:AX26" si="72">S5/R5-1</f>
        <v>8.0845901196568981E-3</v>
      </c>
      <c r="T26" s="12">
        <f t="shared" si="72"/>
        <v>9.6480962214933186E-3</v>
      </c>
      <c r="U26" s="12">
        <f t="shared" si="72"/>
        <v>1.0799852698633705E-2</v>
      </c>
      <c r="V26" s="12">
        <f t="shared" si="72"/>
        <v>1.0157201715210062E-2</v>
      </c>
      <c r="W26" s="12">
        <f t="shared" si="72"/>
        <v>9.4156289923088554E-3</v>
      </c>
      <c r="X26" s="12">
        <f t="shared" si="72"/>
        <v>1.0163663017160429E-2</v>
      </c>
      <c r="Y26" s="12">
        <f t="shared" si="72"/>
        <v>1.0200044663505992E-2</v>
      </c>
      <c r="Z26" s="12">
        <f t="shared" si="72"/>
        <v>9.8997091233934409E-3</v>
      </c>
      <c r="AA26" s="12">
        <f t="shared" si="72"/>
        <v>9.8980573290714524E-3</v>
      </c>
      <c r="AB26" s="12">
        <f t="shared" si="72"/>
        <v>1.0096789494018932E-2</v>
      </c>
      <c r="AC26" s="12">
        <f t="shared" si="72"/>
        <v>1.0014853910051524E-2</v>
      </c>
      <c r="AD26" s="12">
        <f t="shared" si="72"/>
        <v>9.9536811559184368E-3</v>
      </c>
      <c r="AE26" s="12">
        <f t="shared" si="72"/>
        <v>9.9997290242916925E-3</v>
      </c>
      <c r="AF26" s="12">
        <f t="shared" si="72"/>
        <v>1.0027472035204488E-2</v>
      </c>
      <c r="AG26" s="12">
        <f t="shared" si="72"/>
        <v>9.9903660273883421E-3</v>
      </c>
      <c r="AH26" s="12">
        <f t="shared" si="72"/>
        <v>9.989967633705632E-3</v>
      </c>
      <c r="AI26" s="12">
        <f t="shared" si="72"/>
        <v>1.0006666554933208E-2</v>
      </c>
      <c r="AJ26" s="12">
        <f t="shared" si="72"/>
        <v>1.0004067966703278E-2</v>
      </c>
      <c r="AK26" s="12">
        <f t="shared" si="72"/>
        <v>9.9949863477639678E-3</v>
      </c>
      <c r="AL26" s="12">
        <f t="shared" si="72"/>
        <v>9.9995694165193605E-3</v>
      </c>
      <c r="AM26" s="12">
        <f t="shared" si="72"/>
        <v>1.0002500269631787E-2</v>
      </c>
      <c r="AN26" s="12">
        <f t="shared" si="72"/>
        <v>9.9996826015085194E-3</v>
      </c>
      <c r="AO26" s="12">
        <f t="shared" si="72"/>
        <v>9.9987010901099183E-3</v>
      </c>
      <c r="AP26" s="12">
        <f t="shared" si="72"/>
        <v>1.0000578914974412E-2</v>
      </c>
      <c r="AQ26" s="12">
        <f t="shared" si="72"/>
        <v>1.0000472462648125E-2</v>
      </c>
      <c r="AR26" s="12">
        <f t="shared" si="72"/>
        <v>9.999600383316043E-3</v>
      </c>
      <c r="AS26" s="12">
        <f t="shared" si="72"/>
        <v>9.9998457076602154E-3</v>
      </c>
      <c r="AT26" s="12">
        <f t="shared" si="72"/>
        <v>1.000026087855832E-2</v>
      </c>
      <c r="AU26" s="12">
        <f t="shared" si="72"/>
        <v>1.0000000562997879E-2</v>
      </c>
      <c r="AV26" s="12">
        <f t="shared" si="72"/>
        <v>9.9998706070920651E-3</v>
      </c>
      <c r="AW26" s="12">
        <f t="shared" si="72"/>
        <v>1.0000031108302387E-2</v>
      </c>
      <c r="AX26" s="12">
        <f t="shared" si="72"/>
        <v>1.0000060920947407E-2</v>
      </c>
      <c r="AY26" s="12">
        <f t="shared" ref="AY26" si="73">AY5/AX5-1</f>
        <v>9.9999657107323614E-3</v>
      </c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Y26" s="18"/>
      <c r="CZ26" s="18"/>
      <c r="DA26" s="18"/>
      <c r="DB26" s="18"/>
      <c r="DE26" s="18"/>
      <c r="DF26" s="18"/>
      <c r="DG26" s="18"/>
      <c r="DH26" s="18"/>
    </row>
    <row r="27" spans="1:112">
      <c r="A27" s="4">
        <f t="shared" si="70"/>
        <v>3</v>
      </c>
      <c r="C27" s="12">
        <f t="shared" si="67"/>
        <v>0</v>
      </c>
      <c r="D27" s="12">
        <f t="shared" si="67"/>
        <v>0.125</v>
      </c>
      <c r="E27" s="12">
        <f t="shared" ref="E27:R27" si="74">E6/D6-1</f>
        <v>0.26666666666666661</v>
      </c>
      <c r="F27" s="12">
        <f t="shared" si="74"/>
        <v>-0.23750000000000004</v>
      </c>
      <c r="G27" s="12">
        <f t="shared" si="74"/>
        <v>9.1311475409836085E-2</v>
      </c>
      <c r="H27" s="12">
        <f t="shared" si="74"/>
        <v>6.438636022232247E-2</v>
      </c>
      <c r="I27" s="12">
        <f t="shared" si="74"/>
        <v>1.113292838170854E-2</v>
      </c>
      <c r="J27" s="12">
        <f t="shared" si="74"/>
        <v>-5.1733061844884021E-2</v>
      </c>
      <c r="K27" s="12">
        <f t="shared" si="74"/>
        <v>5.2019179488227207E-2</v>
      </c>
      <c r="L27" s="12">
        <f t="shared" si="74"/>
        <v>1.5746335828010993E-2</v>
      </c>
      <c r="M27" s="12">
        <f t="shared" si="74"/>
        <v>-1.6878444906541779E-3</v>
      </c>
      <c r="N27" s="12">
        <f t="shared" si="74"/>
        <v>3.05237092804167E-3</v>
      </c>
      <c r="O27" s="12">
        <f t="shared" si="74"/>
        <v>2.2883785716059535E-2</v>
      </c>
      <c r="P27" s="12">
        <f t="shared" si="74"/>
        <v>6.9240568130697344E-3</v>
      </c>
      <c r="Q27" s="12">
        <f t="shared" si="74"/>
        <v>6.385201517816963E-3</v>
      </c>
      <c r="R27" s="12">
        <f t="shared" si="74"/>
        <v>1.114696440925389E-2</v>
      </c>
      <c r="S27" s="12">
        <f t="shared" ref="S27:AX27" si="75">S6/R6-1</f>
        <v>1.2522829600077445E-2</v>
      </c>
      <c r="T27" s="12">
        <f t="shared" si="75"/>
        <v>8.0845901196568981E-3</v>
      </c>
      <c r="U27" s="12">
        <f t="shared" si="75"/>
        <v>9.6480962214933186E-3</v>
      </c>
      <c r="V27" s="12">
        <f t="shared" si="75"/>
        <v>1.0799852698633705E-2</v>
      </c>
      <c r="W27" s="12">
        <f t="shared" si="75"/>
        <v>1.0157201715210062E-2</v>
      </c>
      <c r="X27" s="12">
        <f t="shared" si="75"/>
        <v>9.4156289923088554E-3</v>
      </c>
      <c r="Y27" s="12">
        <f t="shared" si="75"/>
        <v>1.0163663017160429E-2</v>
      </c>
      <c r="Z27" s="12">
        <f t="shared" si="75"/>
        <v>1.0200044663505992E-2</v>
      </c>
      <c r="AA27" s="12">
        <f t="shared" si="75"/>
        <v>9.8997091233934409E-3</v>
      </c>
      <c r="AB27" s="12">
        <f t="shared" si="75"/>
        <v>9.8980573290714524E-3</v>
      </c>
      <c r="AC27" s="12">
        <f t="shared" si="75"/>
        <v>1.0096789494018932E-2</v>
      </c>
      <c r="AD27" s="12">
        <f t="shared" si="75"/>
        <v>1.0014853910051524E-2</v>
      </c>
      <c r="AE27" s="12">
        <f t="shared" si="75"/>
        <v>9.9536811559184368E-3</v>
      </c>
      <c r="AF27" s="12">
        <f t="shared" si="75"/>
        <v>9.9997290242916925E-3</v>
      </c>
      <c r="AG27" s="12">
        <f t="shared" si="75"/>
        <v>1.0027472035204488E-2</v>
      </c>
      <c r="AH27" s="12">
        <f t="shared" si="75"/>
        <v>9.9903660273883421E-3</v>
      </c>
      <c r="AI27" s="12">
        <f t="shared" si="75"/>
        <v>9.989967633705632E-3</v>
      </c>
      <c r="AJ27" s="12">
        <f t="shared" si="75"/>
        <v>1.0006666554933208E-2</v>
      </c>
      <c r="AK27" s="12">
        <f t="shared" si="75"/>
        <v>1.0004067966703278E-2</v>
      </c>
      <c r="AL27" s="12">
        <f t="shared" si="75"/>
        <v>9.9949863477639678E-3</v>
      </c>
      <c r="AM27" s="12">
        <f t="shared" si="75"/>
        <v>9.9995694165193605E-3</v>
      </c>
      <c r="AN27" s="12">
        <f t="shared" si="75"/>
        <v>1.0002500269631787E-2</v>
      </c>
      <c r="AO27" s="12">
        <f t="shared" si="75"/>
        <v>9.9996826015085194E-3</v>
      </c>
      <c r="AP27" s="12">
        <f t="shared" si="75"/>
        <v>9.9987010901099183E-3</v>
      </c>
      <c r="AQ27" s="12">
        <f t="shared" si="75"/>
        <v>1.0000578914974412E-2</v>
      </c>
      <c r="AR27" s="12">
        <f t="shared" si="75"/>
        <v>1.0000472462648125E-2</v>
      </c>
      <c r="AS27" s="12">
        <f t="shared" si="75"/>
        <v>9.999600383316043E-3</v>
      </c>
      <c r="AT27" s="12">
        <f t="shared" si="75"/>
        <v>9.9998457076602154E-3</v>
      </c>
      <c r="AU27" s="12">
        <f t="shared" si="75"/>
        <v>1.000026087855832E-2</v>
      </c>
      <c r="AV27" s="12">
        <f t="shared" si="75"/>
        <v>1.0000000562997879E-2</v>
      </c>
      <c r="AW27" s="12">
        <f t="shared" si="75"/>
        <v>9.9998706070920651E-3</v>
      </c>
      <c r="AX27" s="12">
        <f t="shared" si="75"/>
        <v>1.0000031108302387E-2</v>
      </c>
      <c r="AY27" s="12">
        <f t="shared" ref="AY27" si="76">AY6/AX6-1</f>
        <v>1.0000060920947407E-2</v>
      </c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Y27" s="18"/>
      <c r="CZ27" s="18"/>
      <c r="DA27" s="18"/>
      <c r="DB27" s="18"/>
      <c r="DE27" s="18"/>
      <c r="DF27" s="18"/>
      <c r="DG27" s="18"/>
      <c r="DH27" s="18"/>
    </row>
    <row r="28" spans="1:112">
      <c r="CY28" s="18"/>
      <c r="CZ28" s="18"/>
      <c r="DA28" s="18"/>
      <c r="DB28" s="18"/>
      <c r="DE28" s="18"/>
      <c r="DF28" s="18"/>
      <c r="DG28" s="18"/>
      <c r="DH28" s="18"/>
    </row>
    <row r="29" spans="1:112">
      <c r="CY29" s="18"/>
      <c r="CZ29" s="18"/>
      <c r="DA29" s="18"/>
      <c r="DB29" s="18"/>
      <c r="DE29" s="18"/>
      <c r="DF29" s="18"/>
      <c r="DG29" s="18"/>
      <c r="DH29" s="18"/>
    </row>
    <row r="30" spans="1:112">
      <c r="CY30" s="18"/>
      <c r="CZ30" s="18"/>
      <c r="DA30" s="18"/>
      <c r="DB30" s="18"/>
      <c r="DE30" s="18"/>
      <c r="DF30" s="18"/>
      <c r="DG30" s="18"/>
      <c r="DH30" s="18"/>
    </row>
    <row r="31" spans="1:112">
      <c r="CY31" s="18"/>
      <c r="CZ31" s="18"/>
      <c r="DA31" s="18"/>
      <c r="DB31" s="18"/>
      <c r="DE31" s="18"/>
      <c r="DF31" s="18"/>
      <c r="DG31" s="18"/>
      <c r="DH31" s="18"/>
    </row>
    <row r="32" spans="1:112">
      <c r="CY32" s="18"/>
      <c r="CZ32" s="18"/>
      <c r="DA32" s="18"/>
      <c r="DB32" s="18"/>
      <c r="DE32" s="18"/>
      <c r="DF32" s="18"/>
      <c r="DG32" s="18"/>
      <c r="DH32" s="18"/>
    </row>
    <row r="33" spans="103:112">
      <c r="CY33" s="18"/>
      <c r="CZ33" s="18"/>
      <c r="DA33" s="18"/>
      <c r="DB33" s="18"/>
      <c r="DE33" s="18"/>
      <c r="DF33" s="18"/>
      <c r="DG33" s="18"/>
      <c r="DH33" s="18"/>
    </row>
    <row r="34" spans="103:112">
      <c r="CY34" s="18"/>
      <c r="CZ34" s="18"/>
      <c r="DA34" s="18"/>
      <c r="DB34" s="18"/>
      <c r="DE34" s="18"/>
      <c r="DF34" s="18"/>
      <c r="DG34" s="18"/>
      <c r="DH34" s="18"/>
    </row>
    <row r="35" spans="103:112">
      <c r="CY35" s="18"/>
      <c r="CZ35" s="18"/>
      <c r="DA35" s="18"/>
      <c r="DB35" s="18"/>
      <c r="DE35" s="18"/>
      <c r="DF35" s="18"/>
      <c r="DG35" s="18"/>
      <c r="DH35" s="18"/>
    </row>
    <row r="36" spans="103:112">
      <c r="CY36" s="18"/>
      <c r="CZ36" s="18"/>
      <c r="DA36" s="18"/>
      <c r="DB36" s="18"/>
      <c r="DE36" s="18"/>
      <c r="DF36" s="18"/>
      <c r="DG36" s="18"/>
      <c r="DH36" s="18"/>
    </row>
    <row r="37" spans="103:112">
      <c r="CY37" s="18"/>
      <c r="CZ37" s="18"/>
      <c r="DA37" s="18"/>
      <c r="DB37" s="18"/>
      <c r="DE37" s="18"/>
      <c r="DF37" s="18"/>
      <c r="DG37" s="18"/>
      <c r="DH37" s="18"/>
    </row>
    <row r="38" spans="103:112">
      <c r="CY38" s="18"/>
      <c r="CZ38" s="18"/>
      <c r="DA38" s="18"/>
      <c r="DB38" s="18"/>
      <c r="DE38" s="18"/>
      <c r="DF38" s="18"/>
      <c r="DG38" s="18"/>
      <c r="DH38" s="18"/>
    </row>
    <row r="39" spans="103:112">
      <c r="CY39" s="18"/>
      <c r="CZ39" s="18"/>
      <c r="DA39" s="18"/>
      <c r="DB39" s="18"/>
      <c r="DE39" s="18"/>
      <c r="DF39" s="18"/>
      <c r="DG39" s="18"/>
      <c r="DH39" s="18"/>
    </row>
    <row r="40" spans="103:112">
      <c r="CY40" s="18"/>
      <c r="CZ40" s="18"/>
      <c r="DA40" s="18"/>
      <c r="DB40" s="18"/>
      <c r="DE40" s="18"/>
      <c r="DF40" s="18"/>
      <c r="DG40" s="18"/>
      <c r="DH40" s="18"/>
    </row>
    <row r="41" spans="103:112">
      <c r="CY41" s="18"/>
      <c r="CZ41" s="18"/>
      <c r="DA41" s="18"/>
      <c r="DB41" s="18"/>
      <c r="DE41" s="18"/>
      <c r="DF41" s="18"/>
      <c r="DG41" s="18"/>
      <c r="DH41" s="18"/>
    </row>
    <row r="42" spans="103:112">
      <c r="CY42" s="18"/>
      <c r="CZ42" s="18"/>
      <c r="DA42" s="18"/>
      <c r="DB42" s="18"/>
      <c r="DE42" s="18"/>
      <c r="DF42" s="18"/>
      <c r="DG42" s="18"/>
      <c r="DH42" s="18"/>
    </row>
    <row r="43" spans="103:112">
      <c r="CY43" s="18"/>
      <c r="CZ43" s="18"/>
      <c r="DA43" s="18"/>
      <c r="DB43" s="18"/>
      <c r="DE43" s="18"/>
      <c r="DF43" s="18"/>
      <c r="DG43" s="18"/>
      <c r="DH43" s="18"/>
    </row>
    <row r="44" spans="103:112">
      <c r="CY44" s="18"/>
      <c r="CZ44" s="18"/>
      <c r="DA44" s="18"/>
      <c r="DB44" s="18"/>
      <c r="DE44" s="18"/>
      <c r="DF44" s="18"/>
      <c r="DG44" s="18"/>
      <c r="DH44" s="18"/>
    </row>
    <row r="45" spans="103:112">
      <c r="CY45" s="18"/>
      <c r="CZ45" s="18"/>
      <c r="DA45" s="18"/>
      <c r="DB45" s="18"/>
      <c r="DE45" s="18"/>
      <c r="DF45" s="18"/>
      <c r="DG45" s="18"/>
      <c r="DH45" s="18"/>
    </row>
    <row r="46" spans="103:112">
      <c r="CY46" s="18"/>
      <c r="CZ46" s="18"/>
      <c r="DA46" s="18"/>
      <c r="DB46" s="18"/>
      <c r="DE46" s="18"/>
      <c r="DF46" s="18"/>
      <c r="DG46" s="18"/>
      <c r="DH46" s="18"/>
    </row>
    <row r="47" spans="103:112">
      <c r="CY47" s="18"/>
      <c r="CZ47" s="18"/>
      <c r="DA47" s="18"/>
      <c r="DB47" s="18"/>
      <c r="DE47" s="18"/>
      <c r="DF47" s="18"/>
      <c r="DG47" s="18"/>
      <c r="DH47" s="18"/>
    </row>
    <row r="48" spans="103:112">
      <c r="CY48" s="18"/>
      <c r="CZ48" s="18"/>
      <c r="DA48" s="18"/>
      <c r="DB48" s="18"/>
      <c r="DE48" s="18"/>
      <c r="DF48" s="18"/>
      <c r="DG48" s="18"/>
      <c r="DH48" s="18"/>
    </row>
    <row r="49" spans="103:112">
      <c r="CY49" s="18"/>
      <c r="CZ49" s="18"/>
      <c r="DA49" s="18"/>
      <c r="DB49" s="18"/>
      <c r="DE49" s="18"/>
      <c r="DF49" s="18"/>
      <c r="DG49" s="18"/>
      <c r="DH49" s="18"/>
    </row>
    <row r="50" spans="103:112">
      <c r="CY50" s="18"/>
      <c r="CZ50" s="18"/>
      <c r="DA50" s="18"/>
      <c r="DB50" s="18"/>
      <c r="DE50" s="18"/>
      <c r="DF50" s="18"/>
      <c r="DG50" s="18"/>
      <c r="DH50" s="18"/>
    </row>
    <row r="51" spans="103:112">
      <c r="CY51" s="18"/>
      <c r="CZ51" s="18"/>
      <c r="DA51" s="18"/>
      <c r="DB51" s="18"/>
      <c r="DE51" s="18"/>
      <c r="DF51" s="18"/>
      <c r="DG51" s="18"/>
      <c r="DH51" s="18"/>
    </row>
    <row r="52" spans="103:112">
      <c r="CY52" s="18"/>
      <c r="CZ52" s="18"/>
      <c r="DA52" s="18"/>
      <c r="DB52" s="18"/>
      <c r="DE52" s="18"/>
      <c r="DF52" s="18"/>
      <c r="DG52" s="18"/>
      <c r="DH52" s="18"/>
    </row>
    <row r="53" spans="103:112">
      <c r="CY53" s="18"/>
      <c r="CZ53" s="18"/>
      <c r="DA53" s="18"/>
      <c r="DB53" s="18"/>
      <c r="DE53" s="18"/>
      <c r="DF53" s="18"/>
      <c r="DG53" s="18"/>
      <c r="DH53" s="18"/>
    </row>
    <row r="54" spans="103:112">
      <c r="CY54" s="18"/>
      <c r="CZ54" s="18"/>
      <c r="DA54" s="18"/>
      <c r="DB54" s="18"/>
      <c r="DE54" s="18"/>
      <c r="DF54" s="18"/>
      <c r="DG54" s="18"/>
      <c r="DH54" s="18"/>
    </row>
    <row r="55" spans="103:112">
      <c r="CY55" s="18"/>
      <c r="CZ55" s="18"/>
      <c r="DA55" s="18"/>
      <c r="DB55" s="18"/>
      <c r="DE55" s="18"/>
      <c r="DF55" s="18"/>
      <c r="DG55" s="18"/>
      <c r="DH55" s="18"/>
    </row>
    <row r="56" spans="103:112">
      <c r="CY56" s="18"/>
      <c r="CZ56" s="18"/>
      <c r="DA56" s="18"/>
      <c r="DB56" s="18"/>
      <c r="DE56" s="18"/>
      <c r="DF56" s="18"/>
      <c r="DG56" s="18"/>
      <c r="DH56" s="18"/>
    </row>
    <row r="57" spans="103:112">
      <c r="CY57" s="18"/>
      <c r="CZ57" s="18"/>
      <c r="DA57" s="18"/>
      <c r="DB57" s="18"/>
      <c r="DE57" s="18"/>
      <c r="DF57" s="18"/>
      <c r="DG57" s="18"/>
      <c r="DH57" s="18"/>
    </row>
    <row r="58" spans="103:112">
      <c r="CY58" s="18"/>
      <c r="CZ58" s="18"/>
      <c r="DA58" s="18"/>
      <c r="DB58" s="18"/>
      <c r="DE58" s="18"/>
      <c r="DF58" s="18"/>
      <c r="DG58" s="18"/>
      <c r="DH58" s="18"/>
    </row>
    <row r="59" spans="103:112">
      <c r="CY59" s="18"/>
      <c r="CZ59" s="18"/>
      <c r="DA59" s="18"/>
      <c r="DB59" s="18"/>
      <c r="DE59" s="18"/>
      <c r="DF59" s="18"/>
      <c r="DG59" s="18"/>
      <c r="DH59" s="18"/>
    </row>
    <row r="60" spans="103:112">
      <c r="CY60" s="18"/>
      <c r="CZ60" s="18"/>
      <c r="DA60" s="18"/>
      <c r="DB60" s="18"/>
      <c r="DE60" s="18"/>
      <c r="DF60" s="18"/>
      <c r="DG60" s="18"/>
      <c r="DH60" s="18"/>
    </row>
    <row r="61" spans="103:112">
      <c r="CY61" s="18"/>
      <c r="CZ61" s="18"/>
      <c r="DA61" s="18"/>
      <c r="DB61" s="18"/>
      <c r="DE61" s="18"/>
      <c r="DF61" s="18"/>
      <c r="DG61" s="18"/>
      <c r="DH61" s="18"/>
    </row>
    <row r="62" spans="103:112">
      <c r="CY62" s="18"/>
      <c r="CZ62" s="18"/>
      <c r="DA62" s="18"/>
      <c r="DB62" s="18"/>
      <c r="DE62" s="18"/>
      <c r="DF62" s="18"/>
      <c r="DG62" s="18"/>
      <c r="DH62" s="18"/>
    </row>
    <row r="63" spans="103:112">
      <c r="CY63" s="18"/>
      <c r="CZ63" s="18"/>
      <c r="DA63" s="18"/>
      <c r="DB63" s="18"/>
      <c r="DE63" s="18"/>
      <c r="DF63" s="18"/>
      <c r="DG63" s="18"/>
      <c r="DH63" s="18"/>
    </row>
    <row r="64" spans="103:112">
      <c r="CY64" s="18"/>
      <c r="CZ64" s="18"/>
      <c r="DA64" s="18"/>
      <c r="DB64" s="18"/>
      <c r="DE64" s="18"/>
      <c r="DF64" s="18"/>
      <c r="DG64" s="18"/>
      <c r="DH64" s="18"/>
    </row>
    <row r="65" spans="103:112">
      <c r="CY65" s="18"/>
      <c r="CZ65" s="18"/>
      <c r="DA65" s="18"/>
      <c r="DB65" s="18"/>
      <c r="DE65" s="18"/>
      <c r="DF65" s="18"/>
      <c r="DG65" s="18"/>
      <c r="DH65" s="18"/>
    </row>
    <row r="66" spans="103:112">
      <c r="CY66" s="18"/>
      <c r="CZ66" s="18"/>
      <c r="DA66" s="18"/>
      <c r="DB66" s="18"/>
      <c r="DE66" s="18"/>
      <c r="DF66" s="18"/>
      <c r="DG66" s="18"/>
      <c r="DH66" s="18"/>
    </row>
    <row r="67" spans="103:112">
      <c r="CY67" s="18"/>
      <c r="CZ67" s="18"/>
      <c r="DA67" s="18"/>
      <c r="DB67" s="18"/>
      <c r="DE67" s="18"/>
      <c r="DF67" s="18"/>
      <c r="DG67" s="18"/>
      <c r="DH67" s="18"/>
    </row>
    <row r="68" spans="103:112">
      <c r="CY68" s="18"/>
      <c r="CZ68" s="18"/>
      <c r="DA68" s="18"/>
      <c r="DB68" s="18"/>
      <c r="DE68" s="18"/>
      <c r="DF68" s="18"/>
      <c r="DG68" s="18"/>
      <c r="DH68" s="18"/>
    </row>
    <row r="69" spans="103:112">
      <c r="CY69" s="18"/>
      <c r="CZ69" s="18"/>
      <c r="DA69" s="18"/>
      <c r="DB69" s="18"/>
      <c r="DE69" s="18"/>
      <c r="DF69" s="18"/>
      <c r="DG69" s="18"/>
      <c r="DH69" s="18"/>
    </row>
    <row r="70" spans="103:112">
      <c r="CY70" s="18"/>
      <c r="CZ70" s="18"/>
      <c r="DA70" s="18"/>
      <c r="DB70" s="18"/>
      <c r="DE70" s="18"/>
      <c r="DF70" s="18"/>
      <c r="DG70" s="18"/>
      <c r="DH70" s="18"/>
    </row>
    <row r="71" spans="103:112">
      <c r="CY71" s="18"/>
      <c r="CZ71" s="18"/>
      <c r="DA71" s="18"/>
      <c r="DB71" s="18"/>
      <c r="DE71" s="18"/>
      <c r="DF71" s="18"/>
      <c r="DG71" s="18"/>
      <c r="DH71" s="18"/>
    </row>
    <row r="72" spans="103:112">
      <c r="CY72" s="18"/>
      <c r="CZ72" s="18"/>
      <c r="DA72" s="18"/>
      <c r="DB72" s="18"/>
      <c r="DE72" s="18"/>
      <c r="DF72" s="18"/>
      <c r="DG72" s="18"/>
      <c r="DH72" s="18"/>
    </row>
    <row r="73" spans="103:112">
      <c r="CY73" s="18"/>
      <c r="CZ73" s="18"/>
      <c r="DA73" s="18"/>
      <c r="DB73" s="18"/>
      <c r="DE73" s="18"/>
      <c r="DF73" s="18"/>
      <c r="DG73" s="18"/>
      <c r="DH73" s="18"/>
    </row>
    <row r="74" spans="103:112">
      <c r="CY74" s="18"/>
      <c r="CZ74" s="18"/>
      <c r="DA74" s="18"/>
      <c r="DB74" s="18"/>
      <c r="DE74" s="18"/>
      <c r="DF74" s="18"/>
      <c r="DG74" s="18"/>
      <c r="DH74" s="18"/>
    </row>
    <row r="75" spans="103:112">
      <c r="CY75" s="18"/>
      <c r="CZ75" s="18"/>
      <c r="DA75" s="18"/>
      <c r="DB75" s="18"/>
      <c r="DE75" s="18"/>
      <c r="DF75" s="18"/>
      <c r="DG75" s="18"/>
      <c r="DH75" s="18"/>
    </row>
    <row r="76" spans="103:112">
      <c r="CY76" s="18"/>
      <c r="CZ76" s="18"/>
      <c r="DA76" s="18"/>
      <c r="DB76" s="18"/>
      <c r="DE76" s="18"/>
      <c r="DF76" s="18"/>
      <c r="DG76" s="18"/>
      <c r="DH76" s="18"/>
    </row>
    <row r="77" spans="103:112">
      <c r="CY77" s="18"/>
      <c r="CZ77" s="18"/>
      <c r="DA77" s="18"/>
      <c r="DB77" s="18"/>
      <c r="DE77" s="18"/>
      <c r="DF77" s="18"/>
      <c r="DG77" s="18"/>
      <c r="DH77" s="18"/>
    </row>
    <row r="78" spans="103:112">
      <c r="CY78" s="18"/>
      <c r="CZ78" s="18"/>
      <c r="DA78" s="18"/>
      <c r="DB78" s="18"/>
      <c r="DE78" s="18"/>
      <c r="DF78" s="18"/>
      <c r="DG78" s="18"/>
      <c r="DH78" s="18"/>
    </row>
    <row r="79" spans="103:112">
      <c r="CY79" s="18"/>
      <c r="CZ79" s="18"/>
      <c r="DA79" s="18"/>
      <c r="DB79" s="18"/>
      <c r="DE79" s="18"/>
      <c r="DF79" s="18"/>
      <c r="DG79" s="18"/>
      <c r="DH79" s="18"/>
    </row>
    <row r="80" spans="103:112">
      <c r="CY80" s="18"/>
      <c r="CZ80" s="18"/>
      <c r="DA80" s="18"/>
      <c r="DB80" s="18"/>
      <c r="DE80" s="18"/>
      <c r="DF80" s="18"/>
      <c r="DG80" s="18"/>
      <c r="DH80" s="18"/>
    </row>
    <row r="81" spans="103:112">
      <c r="CY81" s="18"/>
      <c r="CZ81" s="18"/>
      <c r="DA81" s="18"/>
      <c r="DB81" s="18"/>
      <c r="DE81" s="18"/>
      <c r="DF81" s="18"/>
      <c r="DG81" s="18"/>
      <c r="DH81" s="18"/>
    </row>
    <row r="82" spans="103:112">
      <c r="CY82" s="18"/>
      <c r="CZ82" s="18"/>
      <c r="DA82" s="18"/>
      <c r="DB82" s="18"/>
      <c r="DE82" s="18"/>
      <c r="DF82" s="18"/>
      <c r="DG82" s="18"/>
      <c r="DH82" s="18"/>
    </row>
    <row r="83" spans="103:112">
      <c r="CY83" s="18"/>
      <c r="CZ83" s="18"/>
      <c r="DA83" s="18"/>
      <c r="DB83" s="18"/>
      <c r="DE83" s="18"/>
      <c r="DF83" s="18"/>
      <c r="DG83" s="18"/>
      <c r="DH83" s="18"/>
    </row>
    <row r="84" spans="103:112">
      <c r="CY84" s="18"/>
      <c r="CZ84" s="18"/>
      <c r="DA84" s="18"/>
      <c r="DB84" s="18"/>
      <c r="DE84" s="18"/>
      <c r="DF84" s="18"/>
      <c r="DG84" s="18"/>
      <c r="DH84" s="18"/>
    </row>
    <row r="85" spans="103:112">
      <c r="CY85" s="18"/>
      <c r="CZ85" s="18"/>
      <c r="DA85" s="18"/>
      <c r="DB85" s="18"/>
      <c r="DE85" s="18"/>
      <c r="DF85" s="18"/>
      <c r="DG85" s="18"/>
      <c r="DH85" s="18"/>
    </row>
    <row r="86" spans="103:112">
      <c r="CY86" s="18"/>
      <c r="CZ86" s="18"/>
      <c r="DA86" s="18"/>
      <c r="DB86" s="18"/>
      <c r="DE86" s="18"/>
      <c r="DF86" s="18"/>
      <c r="DG86" s="18"/>
      <c r="DH86" s="18"/>
    </row>
    <row r="87" spans="103:112">
      <c r="CY87" s="18"/>
      <c r="CZ87" s="18"/>
      <c r="DA87" s="18"/>
      <c r="DB87" s="18"/>
      <c r="DE87" s="18"/>
      <c r="DF87" s="18"/>
      <c r="DG87" s="18"/>
      <c r="DH87" s="18"/>
    </row>
    <row r="88" spans="103:112">
      <c r="CY88" s="18"/>
      <c r="CZ88" s="18"/>
      <c r="DA88" s="18"/>
      <c r="DB88" s="18"/>
      <c r="DE88" s="18"/>
      <c r="DF88" s="18"/>
      <c r="DG88" s="18"/>
      <c r="DH88" s="18"/>
    </row>
    <row r="89" spans="103:112">
      <c r="CY89" s="18"/>
      <c r="CZ89" s="18"/>
      <c r="DA89" s="18"/>
      <c r="DB89" s="18"/>
      <c r="DE89" s="18"/>
      <c r="DF89" s="18"/>
      <c r="DG89" s="18"/>
      <c r="DH89" s="18"/>
    </row>
    <row r="90" spans="103:112">
      <c r="CY90" s="18"/>
      <c r="CZ90" s="18"/>
      <c r="DA90" s="18"/>
      <c r="DB90" s="18"/>
      <c r="DE90" s="18"/>
      <c r="DF90" s="18"/>
      <c r="DG90" s="18"/>
      <c r="DH90" s="18"/>
    </row>
    <row r="91" spans="103:112">
      <c r="CY91" s="18"/>
      <c r="CZ91" s="18"/>
      <c r="DA91" s="18"/>
      <c r="DB91" s="18"/>
      <c r="DE91" s="18"/>
      <c r="DF91" s="18"/>
      <c r="DG91" s="18"/>
      <c r="DH91" s="18"/>
    </row>
    <row r="92" spans="103:112">
      <c r="CY92" s="18"/>
      <c r="CZ92" s="18"/>
      <c r="DA92" s="18"/>
      <c r="DB92" s="18"/>
      <c r="DE92" s="18"/>
      <c r="DF92" s="18"/>
      <c r="DG92" s="18"/>
      <c r="DH92" s="18"/>
    </row>
    <row r="93" spans="103:112">
      <c r="CY93" s="18"/>
      <c r="CZ93" s="18"/>
      <c r="DA93" s="18"/>
      <c r="DB93" s="18"/>
      <c r="DE93" s="18"/>
      <c r="DF93" s="18"/>
      <c r="DG93" s="18"/>
      <c r="DH93" s="18"/>
    </row>
    <row r="94" spans="103:112">
      <c r="CY94" s="18"/>
      <c r="CZ94" s="18"/>
      <c r="DA94" s="18"/>
      <c r="DB94" s="18"/>
      <c r="DE94" s="18"/>
      <c r="DF94" s="18"/>
      <c r="DG94" s="18"/>
      <c r="DH94" s="18"/>
    </row>
    <row r="95" spans="103:112">
      <c r="CY95" s="18"/>
      <c r="CZ95" s="18"/>
      <c r="DA95" s="18"/>
      <c r="DB95" s="18"/>
      <c r="DE95" s="18"/>
      <c r="DF95" s="18"/>
      <c r="DG95" s="18"/>
      <c r="DH95" s="18"/>
    </row>
    <row r="96" spans="103:112">
      <c r="CY96" s="18"/>
      <c r="CZ96" s="18"/>
      <c r="DA96" s="18"/>
      <c r="DB96" s="18"/>
      <c r="DE96" s="18"/>
      <c r="DF96" s="18"/>
      <c r="DG96" s="18"/>
      <c r="DH96" s="18"/>
    </row>
    <row r="97" spans="103:112">
      <c r="CY97" s="18"/>
      <c r="CZ97" s="18"/>
      <c r="DA97" s="18"/>
      <c r="DB97" s="18"/>
      <c r="DE97" s="18"/>
      <c r="DF97" s="18"/>
      <c r="DG97" s="18"/>
      <c r="DH97" s="18"/>
    </row>
    <row r="98" spans="103:112">
      <c r="CY98" s="18"/>
      <c r="CZ98" s="18"/>
      <c r="DA98" s="18"/>
      <c r="DB98" s="18"/>
      <c r="DE98" s="18"/>
      <c r="DF98" s="18"/>
      <c r="DG98" s="18"/>
      <c r="DH98" s="18"/>
    </row>
    <row r="99" spans="103:112">
      <c r="CY99" s="18"/>
      <c r="CZ99" s="18"/>
      <c r="DA99" s="18"/>
      <c r="DB99" s="18"/>
      <c r="DE99" s="18"/>
      <c r="DF99" s="18"/>
      <c r="DG99" s="18"/>
      <c r="DH99" s="18"/>
    </row>
    <row r="100" spans="103:112">
      <c r="CY100" s="18"/>
      <c r="CZ100" s="18"/>
      <c r="DA100" s="18"/>
      <c r="DB100" s="18"/>
      <c r="DE100" s="18"/>
      <c r="DF100" s="18"/>
      <c r="DG100" s="18"/>
      <c r="DH100" s="18"/>
    </row>
    <row r="101" spans="103:112">
      <c r="CY101" s="18"/>
      <c r="CZ101" s="18"/>
      <c r="DA101" s="18"/>
      <c r="DB101" s="18"/>
      <c r="DE101" s="18"/>
      <c r="DF101" s="18"/>
      <c r="DG101" s="18"/>
      <c r="DH101" s="18"/>
    </row>
    <row r="102" spans="103:112">
      <c r="CY102" s="18"/>
      <c r="CZ102" s="18"/>
      <c r="DA102" s="18"/>
      <c r="DB102" s="18"/>
      <c r="DE102" s="18"/>
      <c r="DF102" s="18"/>
      <c r="DG102" s="18"/>
      <c r="DH102" s="18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02"/>
  <sheetViews>
    <sheetView zoomScale="125" zoomScaleNormal="125" zoomScalePageLayoutView="125" workbookViewId="0">
      <pane xSplit="1" ySplit="1" topLeftCell="U2" activePane="bottomRight" state="frozen"/>
      <selection pane="topRight" activeCell="C1" sqref="C1"/>
      <selection pane="bottomLeft" activeCell="A3" sqref="A3"/>
      <selection pane="bottomRight" activeCell="BA8" sqref="BA8"/>
    </sheetView>
  </sheetViews>
  <sheetFormatPr baseColWidth="10" defaultRowHeight="14" x14ac:dyDescent="0"/>
  <cols>
    <col min="1" max="51" width="11" style="6" bestFit="1" customWidth="1"/>
    <col min="52" max="101" width="13.33203125" style="6" bestFit="1" customWidth="1"/>
    <col min="102" max="103" width="10.83203125" style="6"/>
    <col min="104" max="106" width="16" style="6" bestFit="1" customWidth="1"/>
    <col min="107" max="107" width="15.1640625" style="6" bestFit="1" customWidth="1"/>
    <col min="108" max="109" width="10.83203125" style="6"/>
    <col min="110" max="113" width="15.1640625" style="6" bestFit="1" customWidth="1"/>
    <col min="114" max="16384" width="10.83203125" style="6"/>
  </cols>
  <sheetData>
    <row r="1" spans="1:113" ht="15">
      <c r="A1" s="5"/>
      <c r="B1" s="14">
        <v>0</v>
      </c>
      <c r="C1" s="14">
        <f>B1+1</f>
        <v>1</v>
      </c>
      <c r="D1" s="14">
        <f t="shared" ref="D1:AY1" si="0">C1+1</f>
        <v>2</v>
      </c>
      <c r="E1" s="14">
        <f t="shared" si="0"/>
        <v>3</v>
      </c>
      <c r="F1" s="14">
        <f t="shared" si="0"/>
        <v>4</v>
      </c>
      <c r="G1" s="14">
        <f t="shared" si="0"/>
        <v>5</v>
      </c>
      <c r="H1" s="14">
        <f t="shared" si="0"/>
        <v>6</v>
      </c>
      <c r="I1" s="14">
        <f t="shared" si="0"/>
        <v>7</v>
      </c>
      <c r="J1" s="14">
        <f t="shared" si="0"/>
        <v>8</v>
      </c>
      <c r="K1" s="14">
        <f t="shared" si="0"/>
        <v>9</v>
      </c>
      <c r="L1" s="14">
        <f t="shared" si="0"/>
        <v>10</v>
      </c>
      <c r="M1" s="14">
        <f t="shared" si="0"/>
        <v>11</v>
      </c>
      <c r="N1" s="14">
        <f t="shared" si="0"/>
        <v>12</v>
      </c>
      <c r="O1" s="14">
        <f t="shared" si="0"/>
        <v>13</v>
      </c>
      <c r="P1" s="14">
        <f t="shared" si="0"/>
        <v>14</v>
      </c>
      <c r="Q1" s="14">
        <f t="shared" si="0"/>
        <v>15</v>
      </c>
      <c r="R1" s="14">
        <f t="shared" si="0"/>
        <v>16</v>
      </c>
      <c r="S1" s="14">
        <f t="shared" si="0"/>
        <v>17</v>
      </c>
      <c r="T1" s="14">
        <f t="shared" si="0"/>
        <v>18</v>
      </c>
      <c r="U1" s="14">
        <f t="shared" si="0"/>
        <v>19</v>
      </c>
      <c r="V1" s="14">
        <f t="shared" si="0"/>
        <v>20</v>
      </c>
      <c r="W1" s="14">
        <f t="shared" si="0"/>
        <v>21</v>
      </c>
      <c r="X1" s="14">
        <f t="shared" si="0"/>
        <v>22</v>
      </c>
      <c r="Y1" s="14">
        <f t="shared" si="0"/>
        <v>23</v>
      </c>
      <c r="Z1" s="14">
        <f t="shared" si="0"/>
        <v>24</v>
      </c>
      <c r="AA1" s="14">
        <f t="shared" si="0"/>
        <v>25</v>
      </c>
      <c r="AB1" s="14">
        <f t="shared" si="0"/>
        <v>26</v>
      </c>
      <c r="AC1" s="14">
        <f t="shared" si="0"/>
        <v>27</v>
      </c>
      <c r="AD1" s="14">
        <f t="shared" si="0"/>
        <v>28</v>
      </c>
      <c r="AE1" s="14">
        <f t="shared" si="0"/>
        <v>29</v>
      </c>
      <c r="AF1" s="14">
        <f t="shared" si="0"/>
        <v>30</v>
      </c>
      <c r="AG1" s="14">
        <f t="shared" si="0"/>
        <v>31</v>
      </c>
      <c r="AH1" s="14">
        <f t="shared" si="0"/>
        <v>32</v>
      </c>
      <c r="AI1" s="14">
        <f t="shared" si="0"/>
        <v>33</v>
      </c>
      <c r="AJ1" s="14">
        <f t="shared" si="0"/>
        <v>34</v>
      </c>
      <c r="AK1" s="14">
        <f t="shared" si="0"/>
        <v>35</v>
      </c>
      <c r="AL1" s="14">
        <f t="shared" si="0"/>
        <v>36</v>
      </c>
      <c r="AM1" s="14">
        <f t="shared" si="0"/>
        <v>37</v>
      </c>
      <c r="AN1" s="14">
        <f t="shared" si="0"/>
        <v>38</v>
      </c>
      <c r="AO1" s="14">
        <f t="shared" si="0"/>
        <v>39</v>
      </c>
      <c r="AP1" s="14">
        <f t="shared" si="0"/>
        <v>40</v>
      </c>
      <c r="AQ1" s="14">
        <f t="shared" si="0"/>
        <v>41</v>
      </c>
      <c r="AR1" s="14">
        <f t="shared" si="0"/>
        <v>42</v>
      </c>
      <c r="AS1" s="14">
        <f t="shared" si="0"/>
        <v>43</v>
      </c>
      <c r="AT1" s="14">
        <f t="shared" si="0"/>
        <v>44</v>
      </c>
      <c r="AU1" s="14">
        <f t="shared" si="0"/>
        <v>45</v>
      </c>
      <c r="AV1" s="14">
        <f t="shared" si="0"/>
        <v>46</v>
      </c>
      <c r="AW1" s="14">
        <f t="shared" si="0"/>
        <v>47</v>
      </c>
      <c r="AX1" s="14">
        <f t="shared" si="0"/>
        <v>48</v>
      </c>
      <c r="AY1" s="14">
        <f t="shared" si="0"/>
        <v>49</v>
      </c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</row>
    <row r="2" spans="1:113" ht="15">
      <c r="A2" s="15" t="s">
        <v>20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Z2" s="18"/>
      <c r="DA2" s="18"/>
      <c r="DB2" s="18"/>
      <c r="DC2" s="18"/>
      <c r="DF2" s="18"/>
      <c r="DG2" s="18"/>
      <c r="DH2" s="18"/>
      <c r="DI2" s="18"/>
    </row>
    <row r="3" spans="1:113">
      <c r="A3" s="5">
        <v>0</v>
      </c>
      <c r="B3" s="7">
        <f>Params!C10</f>
        <v>100</v>
      </c>
      <c r="C3" s="10">
        <f>B3*Params!$C$3</f>
        <v>101</v>
      </c>
      <c r="D3" s="10">
        <f>C3*Params!$C$3</f>
        <v>102.01</v>
      </c>
      <c r="E3" s="10">
        <f>D3*Params!$C$3</f>
        <v>103.0301</v>
      </c>
      <c r="F3" s="10">
        <f>E3*Params!$C$3</f>
        <v>104.060401</v>
      </c>
      <c r="G3" s="10">
        <f>F3*Params!$C$3</f>
        <v>105.10100500999999</v>
      </c>
      <c r="H3" s="10">
        <f>G3*Params!$C$3</f>
        <v>106.1520150601</v>
      </c>
      <c r="I3" s="10">
        <f>H3*Params!$C$3</f>
        <v>107.213535210701</v>
      </c>
      <c r="J3" s="10">
        <f>I3*Params!$C$3</f>
        <v>108.28567056280801</v>
      </c>
      <c r="K3" s="10">
        <f>J3*Params!$C$3</f>
        <v>109.36852726843608</v>
      </c>
      <c r="L3" s="10">
        <f>K3*Params!$C$3</f>
        <v>110.46221254112045</v>
      </c>
      <c r="M3" s="10">
        <f>L3*Params!$C$3</f>
        <v>111.56683466653166</v>
      </c>
      <c r="N3" s="10">
        <f>M3*Params!$C$3</f>
        <v>112.68250301319698</v>
      </c>
      <c r="O3" s="10">
        <f>N3*Params!$C$3</f>
        <v>113.80932804332895</v>
      </c>
      <c r="P3" s="10">
        <f>O3*Params!$C$3</f>
        <v>114.94742132376224</v>
      </c>
      <c r="Q3" s="10">
        <f>P3*Params!$C$3</f>
        <v>116.09689553699987</v>
      </c>
      <c r="R3" s="10">
        <f>Q3*Params!$C$3</f>
        <v>117.25786449236986</v>
      </c>
      <c r="S3" s="10">
        <f>R3*Params!$C$3</f>
        <v>118.43044313729357</v>
      </c>
      <c r="T3" s="10">
        <f>S3*Params!$C$3</f>
        <v>119.6147475686665</v>
      </c>
      <c r="U3" s="10">
        <f>T3*Params!$C$3</f>
        <v>120.81089504435317</v>
      </c>
      <c r="V3" s="10">
        <f>U3*Params!$C$3</f>
        <v>122.01900399479671</v>
      </c>
      <c r="W3" s="10">
        <f>V3*Params!$C$3</f>
        <v>123.23919403474467</v>
      </c>
      <c r="X3" s="10">
        <f>W3*Params!$C$3</f>
        <v>124.47158597509213</v>
      </c>
      <c r="Y3" s="10">
        <f>X3*Params!$C$3</f>
        <v>125.71630183484305</v>
      </c>
      <c r="Z3" s="10">
        <f>Y3*Params!$C$3</f>
        <v>126.97346485319149</v>
      </c>
      <c r="AA3" s="10">
        <f>Z3*Params!$C$3</f>
        <v>128.24319950172341</v>
      </c>
      <c r="AB3" s="10">
        <f>AA3*Params!$C$3</f>
        <v>129.52563149674066</v>
      </c>
      <c r="AC3" s="10">
        <f>AB3*Params!$C$3</f>
        <v>130.82088781170808</v>
      </c>
      <c r="AD3" s="10">
        <f>AC3*Params!$C$3</f>
        <v>132.12909668982516</v>
      </c>
      <c r="AE3" s="10">
        <f>AD3*Params!$C$3</f>
        <v>133.45038765672342</v>
      </c>
      <c r="AF3" s="10">
        <f>AE3*Params!$C$3</f>
        <v>134.78489153329065</v>
      </c>
      <c r="AG3" s="10">
        <f>AF3*Params!$C$3</f>
        <v>136.13274044862357</v>
      </c>
      <c r="AH3" s="10">
        <f>AG3*Params!$C$3</f>
        <v>137.49406785310981</v>
      </c>
      <c r="AI3" s="10">
        <f>AH3*Params!$C$3</f>
        <v>138.8690085316409</v>
      </c>
      <c r="AJ3" s="10">
        <f>AI3*Params!$C$3</f>
        <v>140.2576986169573</v>
      </c>
      <c r="AK3" s="10">
        <f>AJ3*Params!$C$3</f>
        <v>141.66027560312688</v>
      </c>
      <c r="AL3" s="10">
        <f>AK3*Params!$C$3</f>
        <v>143.07687835915814</v>
      </c>
      <c r="AM3" s="10">
        <f>AL3*Params!$C$3</f>
        <v>144.50764714274973</v>
      </c>
      <c r="AN3" s="10">
        <f>AM3*Params!$C$3</f>
        <v>145.95272361417724</v>
      </c>
      <c r="AO3" s="10">
        <f>AN3*Params!$C$3</f>
        <v>147.41225085031903</v>
      </c>
      <c r="AP3" s="10">
        <f>AO3*Params!$C$3</f>
        <v>148.88637335882223</v>
      </c>
      <c r="AQ3" s="10">
        <f>AP3*Params!$C$3</f>
        <v>150.37523709241046</v>
      </c>
      <c r="AR3" s="10">
        <f>AQ3*Params!$C$3</f>
        <v>151.87898946333456</v>
      </c>
      <c r="AS3" s="10">
        <f>AR3*Params!$C$3</f>
        <v>153.39777935796792</v>
      </c>
      <c r="AT3" s="10">
        <f>AS3*Params!$C$3</f>
        <v>154.9317571515476</v>
      </c>
      <c r="AU3" s="10">
        <f>AT3*Params!$C$3</f>
        <v>156.48107472306307</v>
      </c>
      <c r="AV3" s="10">
        <f>AU3*Params!$C$3</f>
        <v>158.04588547029371</v>
      </c>
      <c r="AW3" s="10">
        <f>AV3*Params!$C$3</f>
        <v>159.62634432499664</v>
      </c>
      <c r="AX3" s="10">
        <f>AW3*Params!$C$3</f>
        <v>161.2226077682466</v>
      </c>
      <c r="AY3" s="10">
        <f>AX3*Params!$C$3</f>
        <v>162.83483384592907</v>
      </c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Z3" s="18"/>
      <c r="DA3" s="18"/>
      <c r="DB3" s="18"/>
      <c r="DC3" s="18"/>
      <c r="DF3" s="18"/>
      <c r="DG3" s="18"/>
      <c r="DH3" s="18"/>
      <c r="DI3" s="18"/>
    </row>
    <row r="4" spans="1:113">
      <c r="A4" s="5">
        <f>A3+1</f>
        <v>1</v>
      </c>
      <c r="B4" s="7">
        <f>Params!C11</f>
        <v>75</v>
      </c>
      <c r="C4" s="10">
        <f>B3*Params!$C5</f>
        <v>95</v>
      </c>
      <c r="D4" s="10">
        <f>C3*Params!$C5</f>
        <v>95.949999999999989</v>
      </c>
      <c r="E4" s="10">
        <f>D3*Params!$C5</f>
        <v>96.909499999999994</v>
      </c>
      <c r="F4" s="10">
        <f>E3*Params!$C5</f>
        <v>97.878595000000004</v>
      </c>
      <c r="G4" s="10">
        <f>F3*Params!$C5</f>
        <v>98.857380949999992</v>
      </c>
      <c r="H4" s="10">
        <f>G3*Params!$C5</f>
        <v>99.845954759499989</v>
      </c>
      <c r="I4" s="10">
        <f>H3*Params!$C5</f>
        <v>100.84441430709499</v>
      </c>
      <c r="J4" s="10">
        <f>I3*Params!$C5</f>
        <v>101.85285845016594</v>
      </c>
      <c r="K4" s="10">
        <f>J3*Params!$C5</f>
        <v>102.87138703466761</v>
      </c>
      <c r="L4" s="10">
        <f>K3*Params!$C5</f>
        <v>103.90010090501427</v>
      </c>
      <c r="M4" s="10">
        <f>L3*Params!$C5</f>
        <v>104.93910191406442</v>
      </c>
      <c r="N4" s="10">
        <f>M3*Params!$C5</f>
        <v>105.98849293320508</v>
      </c>
      <c r="O4" s="10">
        <f>N3*Params!$C5</f>
        <v>107.04837786253712</v>
      </c>
      <c r="P4" s="10">
        <f>O3*Params!$C5</f>
        <v>108.1188616411625</v>
      </c>
      <c r="Q4" s="10">
        <f>P3*Params!$C5</f>
        <v>109.20005025757412</v>
      </c>
      <c r="R4" s="10">
        <f>Q3*Params!$C5</f>
        <v>110.29205076014986</v>
      </c>
      <c r="S4" s="10">
        <f>R3*Params!$C5</f>
        <v>111.39497126775136</v>
      </c>
      <c r="T4" s="10">
        <f>S3*Params!$C5</f>
        <v>112.50892098042888</v>
      </c>
      <c r="U4" s="10">
        <f>T3*Params!$C5</f>
        <v>113.63401019023317</v>
      </c>
      <c r="V4" s="10">
        <f>U3*Params!$C5</f>
        <v>114.7703502921355</v>
      </c>
      <c r="W4" s="10">
        <f>V3*Params!$C5</f>
        <v>115.91805379505686</v>
      </c>
      <c r="X4" s="10">
        <f>W3*Params!$C5</f>
        <v>117.07723433300742</v>
      </c>
      <c r="Y4" s="10">
        <f>X3*Params!$C5</f>
        <v>118.24800667633751</v>
      </c>
      <c r="Z4" s="10">
        <f>Y3*Params!$C5</f>
        <v>119.4304867431009</v>
      </c>
      <c r="AA4" s="10">
        <f>Z3*Params!$C5</f>
        <v>120.6247916105319</v>
      </c>
      <c r="AB4" s="10">
        <f>AA3*Params!$C5</f>
        <v>121.83103952663723</v>
      </c>
      <c r="AC4" s="10">
        <f>AB3*Params!$C5</f>
        <v>123.04934992190361</v>
      </c>
      <c r="AD4" s="10">
        <f>AC3*Params!$C5</f>
        <v>124.27984342112266</v>
      </c>
      <c r="AE4" s="10">
        <f>AD3*Params!$C5</f>
        <v>125.5226418553339</v>
      </c>
      <c r="AF4" s="10">
        <f>AE3*Params!$C5</f>
        <v>126.77786827388725</v>
      </c>
      <c r="AG4" s="10">
        <f>AF3*Params!$C5</f>
        <v>128.04564695662611</v>
      </c>
      <c r="AH4" s="10">
        <f>AG3*Params!$C5</f>
        <v>129.32610342619239</v>
      </c>
      <c r="AI4" s="10">
        <f>AH3*Params!$C5</f>
        <v>130.61936446045431</v>
      </c>
      <c r="AJ4" s="10">
        <f>AI3*Params!$C5</f>
        <v>131.92555810505885</v>
      </c>
      <c r="AK4" s="10">
        <f>AJ3*Params!$C5</f>
        <v>133.24481368610944</v>
      </c>
      <c r="AL4" s="10">
        <f>AK3*Params!$C5</f>
        <v>134.57726182297051</v>
      </c>
      <c r="AM4" s="10">
        <f>AL3*Params!$C5</f>
        <v>135.92303444120023</v>
      </c>
      <c r="AN4" s="10">
        <f>AM3*Params!$C5</f>
        <v>137.28226478561223</v>
      </c>
      <c r="AO4" s="10">
        <f>AN3*Params!$C5</f>
        <v>138.65508743346837</v>
      </c>
      <c r="AP4" s="10">
        <f>AO3*Params!$C5</f>
        <v>140.04163830780305</v>
      </c>
      <c r="AQ4" s="10">
        <f>AP3*Params!$C5</f>
        <v>141.44205469088112</v>
      </c>
      <c r="AR4" s="10">
        <f>AQ3*Params!$C5</f>
        <v>142.85647523778994</v>
      </c>
      <c r="AS4" s="10">
        <f>AR3*Params!$C5</f>
        <v>144.28503999016783</v>
      </c>
      <c r="AT4" s="10">
        <f>AS3*Params!$C5</f>
        <v>145.72789039006952</v>
      </c>
      <c r="AU4" s="10">
        <f>AT3*Params!$C5</f>
        <v>147.1851692939702</v>
      </c>
      <c r="AV4" s="10">
        <f>AU3*Params!$C5</f>
        <v>148.65702098690991</v>
      </c>
      <c r="AW4" s="10">
        <f>AV3*Params!$C5</f>
        <v>150.14359119677903</v>
      </c>
      <c r="AX4" s="10">
        <f>AW3*Params!$C5</f>
        <v>151.6450271087468</v>
      </c>
      <c r="AY4" s="10">
        <f>AX3*Params!$C5</f>
        <v>153.16147737983425</v>
      </c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Z4" s="18"/>
      <c r="DA4" s="18"/>
      <c r="DB4" s="18"/>
      <c r="DC4" s="18"/>
      <c r="DF4" s="18"/>
      <c r="DG4" s="18"/>
      <c r="DH4" s="18"/>
      <c r="DI4" s="18"/>
    </row>
    <row r="5" spans="1:113">
      <c r="A5" s="5">
        <f t="shared" ref="A5:A6" si="1">A4+1</f>
        <v>2</v>
      </c>
      <c r="B5" s="7">
        <f>Params!C12</f>
        <v>50</v>
      </c>
      <c r="C5" s="10">
        <f>B4*Params!$C6</f>
        <v>56.25</v>
      </c>
      <c r="D5" s="10">
        <f>C4*Params!$C6</f>
        <v>71.25</v>
      </c>
      <c r="E5" s="10">
        <f>D4*Params!$C6</f>
        <v>71.962499999999991</v>
      </c>
      <c r="F5" s="10">
        <f>E4*Params!$C6</f>
        <v>72.682124999999999</v>
      </c>
      <c r="G5" s="10">
        <f>F4*Params!$C6</f>
        <v>73.40894625</v>
      </c>
      <c r="H5" s="10">
        <f>G4*Params!$C6</f>
        <v>74.143035712499994</v>
      </c>
      <c r="I5" s="10">
        <f>H4*Params!$C6</f>
        <v>74.884466069624992</v>
      </c>
      <c r="J5" s="10">
        <f>I4*Params!$C6</f>
        <v>75.633310730321242</v>
      </c>
      <c r="K5" s="10">
        <f>J4*Params!$C6</f>
        <v>76.389643837624448</v>
      </c>
      <c r="L5" s="10">
        <f>K4*Params!$C6</f>
        <v>77.153540276000712</v>
      </c>
      <c r="M5" s="10">
        <f>L4*Params!$C6</f>
        <v>77.925075678760706</v>
      </c>
      <c r="N5" s="10">
        <f>M4*Params!$C6</f>
        <v>78.704326435548325</v>
      </c>
      <c r="O5" s="10">
        <f>N4*Params!$C6</f>
        <v>79.491369699903814</v>
      </c>
      <c r="P5" s="10">
        <f>O4*Params!$C6</f>
        <v>80.286283396902846</v>
      </c>
      <c r="Q5" s="10">
        <f>P4*Params!$C6</f>
        <v>81.089146230871876</v>
      </c>
      <c r="R5" s="10">
        <f>Q4*Params!$C6</f>
        <v>81.900037693180593</v>
      </c>
      <c r="S5" s="10">
        <f>R4*Params!$C6</f>
        <v>82.71903807011239</v>
      </c>
      <c r="T5" s="10">
        <f>S4*Params!$C6</f>
        <v>83.546228450813516</v>
      </c>
      <c r="U5" s="10">
        <f>T4*Params!$C6</f>
        <v>84.381690735321655</v>
      </c>
      <c r="V5" s="10">
        <f>U4*Params!$C6</f>
        <v>85.22550764267487</v>
      </c>
      <c r="W5" s="10">
        <f>V4*Params!$C6</f>
        <v>86.077762719101628</v>
      </c>
      <c r="X5" s="10">
        <f>W4*Params!$C6</f>
        <v>86.938540346292655</v>
      </c>
      <c r="Y5" s="10">
        <f>X4*Params!$C6</f>
        <v>87.807925749755569</v>
      </c>
      <c r="Z5" s="10">
        <f>Y4*Params!$C6</f>
        <v>88.686005007253129</v>
      </c>
      <c r="AA5" s="10">
        <f>Z4*Params!$C6</f>
        <v>89.572865057325672</v>
      </c>
      <c r="AB5" s="10">
        <f>AA4*Params!$C6</f>
        <v>90.468593707898918</v>
      </c>
      <c r="AC5" s="10">
        <f>AB4*Params!$C6</f>
        <v>91.373279644977913</v>
      </c>
      <c r="AD5" s="10">
        <f>AC4*Params!$C6</f>
        <v>92.287012441427706</v>
      </c>
      <c r="AE5" s="10">
        <f>AD4*Params!$C6</f>
        <v>93.209882565841994</v>
      </c>
      <c r="AF5" s="10">
        <f>AE4*Params!$C6</f>
        <v>94.141981391500423</v>
      </c>
      <c r="AG5" s="10">
        <f>AF4*Params!$C6</f>
        <v>95.083401205415441</v>
      </c>
      <c r="AH5" s="10">
        <f>AG4*Params!$C6</f>
        <v>96.034235217469586</v>
      </c>
      <c r="AI5" s="10">
        <f>AH4*Params!$C6</f>
        <v>96.994577569644292</v>
      </c>
      <c r="AJ5" s="10">
        <f>AI4*Params!$C6</f>
        <v>97.964523345340723</v>
      </c>
      <c r="AK5" s="10">
        <f>AJ4*Params!$C6</f>
        <v>98.944168578794148</v>
      </c>
      <c r="AL5" s="10">
        <f>AK4*Params!$C6</f>
        <v>99.933610264582086</v>
      </c>
      <c r="AM5" s="10">
        <f>AL4*Params!$C6</f>
        <v>100.93294636722788</v>
      </c>
      <c r="AN5" s="10">
        <f>AM4*Params!$C6</f>
        <v>101.94227583090017</v>
      </c>
      <c r="AO5" s="10">
        <f>AN4*Params!$C6</f>
        <v>102.96169858920916</v>
      </c>
      <c r="AP5" s="10">
        <f>AO4*Params!$C6</f>
        <v>103.99131557510128</v>
      </c>
      <c r="AQ5" s="10">
        <f>AP4*Params!$C6</f>
        <v>105.03122873085229</v>
      </c>
      <c r="AR5" s="10">
        <f>AQ4*Params!$C6</f>
        <v>106.08154101816083</v>
      </c>
      <c r="AS5" s="10">
        <f>AR4*Params!$C6</f>
        <v>107.14235642834245</v>
      </c>
      <c r="AT5" s="10">
        <f>AS4*Params!$C6</f>
        <v>108.21377999262587</v>
      </c>
      <c r="AU5" s="10">
        <f>AT4*Params!$C6</f>
        <v>109.29591779255213</v>
      </c>
      <c r="AV5" s="10">
        <f>AU4*Params!$C6</f>
        <v>110.38887697047765</v>
      </c>
      <c r="AW5" s="10">
        <f>AV4*Params!$C6</f>
        <v>111.49276574018243</v>
      </c>
      <c r="AX5" s="10">
        <f>AW4*Params!$C6</f>
        <v>112.60769339758427</v>
      </c>
      <c r="AY5" s="10">
        <f>AX4*Params!$C6</f>
        <v>113.73377033156009</v>
      </c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Z5" s="18"/>
      <c r="DA5" s="18"/>
      <c r="DB5" s="18"/>
      <c r="DC5" s="18"/>
      <c r="DF5" s="18"/>
      <c r="DG5" s="18"/>
      <c r="DH5" s="18"/>
      <c r="DI5" s="18"/>
    </row>
    <row r="6" spans="1:113">
      <c r="A6" s="5">
        <f t="shared" si="1"/>
        <v>3</v>
      </c>
      <c r="B6" s="7">
        <f>Params!C13</f>
        <v>25</v>
      </c>
      <c r="C6" s="10">
        <f>B5*Params!$C7</f>
        <v>25</v>
      </c>
      <c r="D6" s="10">
        <f>C5*Params!$C7</f>
        <v>28.125</v>
      </c>
      <c r="E6" s="10">
        <f>D5*Params!$C7</f>
        <v>35.625</v>
      </c>
      <c r="F6" s="10">
        <f>E5*Params!$C7</f>
        <v>35.981249999999996</v>
      </c>
      <c r="G6" s="10">
        <f>F5*Params!$C7</f>
        <v>36.3410625</v>
      </c>
      <c r="H6" s="10">
        <f>G5*Params!$C7</f>
        <v>36.704473125</v>
      </c>
      <c r="I6" s="10">
        <f>H5*Params!$C7</f>
        <v>37.071517856249997</v>
      </c>
      <c r="J6" s="10">
        <f>I5*Params!$C7</f>
        <v>37.442233034812496</v>
      </c>
      <c r="K6" s="10">
        <f>J5*Params!$C7</f>
        <v>37.816655365160621</v>
      </c>
      <c r="L6" s="10">
        <f>K5*Params!$C7</f>
        <v>38.194821918812224</v>
      </c>
      <c r="M6" s="10">
        <f>L5*Params!$C7</f>
        <v>38.576770138000356</v>
      </c>
      <c r="N6" s="10">
        <f>M5*Params!$C7</f>
        <v>38.962537839380353</v>
      </c>
      <c r="O6" s="10">
        <f>N5*Params!$C7</f>
        <v>39.352163217774162</v>
      </c>
      <c r="P6" s="10">
        <f>O5*Params!$C7</f>
        <v>39.745684849951907</v>
      </c>
      <c r="Q6" s="10">
        <f>P5*Params!$C7</f>
        <v>40.143141698451423</v>
      </c>
      <c r="R6" s="10">
        <f>Q5*Params!$C7</f>
        <v>40.544573115435938</v>
      </c>
      <c r="S6" s="10">
        <f>R5*Params!$C7</f>
        <v>40.950018846590297</v>
      </c>
      <c r="T6" s="10">
        <f>S5*Params!$C7</f>
        <v>41.359519035056195</v>
      </c>
      <c r="U6" s="10">
        <f>T5*Params!$C7</f>
        <v>41.773114225406758</v>
      </c>
      <c r="V6" s="10">
        <f>U5*Params!$C7</f>
        <v>42.190845367660827</v>
      </c>
      <c r="W6" s="10">
        <f>V5*Params!$C7</f>
        <v>42.612753821337435</v>
      </c>
      <c r="X6" s="10">
        <f>W5*Params!$C7</f>
        <v>43.038881359550814</v>
      </c>
      <c r="Y6" s="10">
        <f>X5*Params!$C7</f>
        <v>43.469270173146327</v>
      </c>
      <c r="Z6" s="10">
        <f>Y5*Params!$C7</f>
        <v>43.903962874877784</v>
      </c>
      <c r="AA6" s="10">
        <f>Z5*Params!$C7</f>
        <v>44.343002503626565</v>
      </c>
      <c r="AB6" s="10">
        <f>AA5*Params!$C7</f>
        <v>44.786432528662836</v>
      </c>
      <c r="AC6" s="10">
        <f>AB5*Params!$C7</f>
        <v>45.234296853949459</v>
      </c>
      <c r="AD6" s="10">
        <f>AC5*Params!$C7</f>
        <v>45.686639822488956</v>
      </c>
      <c r="AE6" s="10">
        <f>AD5*Params!$C7</f>
        <v>46.143506220713853</v>
      </c>
      <c r="AF6" s="10">
        <f>AE5*Params!$C7</f>
        <v>46.604941282920997</v>
      </c>
      <c r="AG6" s="10">
        <f>AF5*Params!$C7</f>
        <v>47.070990695750211</v>
      </c>
      <c r="AH6" s="10">
        <f>AG5*Params!$C7</f>
        <v>47.541700602707721</v>
      </c>
      <c r="AI6" s="10">
        <f>AH5*Params!$C7</f>
        <v>48.017117608734793</v>
      </c>
      <c r="AJ6" s="10">
        <f>AI5*Params!$C7</f>
        <v>48.497288784822146</v>
      </c>
      <c r="AK6" s="10">
        <f>AJ5*Params!$C7</f>
        <v>48.982261672670361</v>
      </c>
      <c r="AL6" s="10">
        <f>AK5*Params!$C7</f>
        <v>49.472084289397074</v>
      </c>
      <c r="AM6" s="10">
        <f>AL5*Params!$C7</f>
        <v>49.966805132291043</v>
      </c>
      <c r="AN6" s="10">
        <f>AM5*Params!$C7</f>
        <v>50.466473183613942</v>
      </c>
      <c r="AO6" s="10">
        <f>AN5*Params!$C7</f>
        <v>50.971137915450086</v>
      </c>
      <c r="AP6" s="10">
        <f>AO5*Params!$C7</f>
        <v>51.480849294604582</v>
      </c>
      <c r="AQ6" s="10">
        <f>AP5*Params!$C7</f>
        <v>51.995657787550641</v>
      </c>
      <c r="AR6" s="10">
        <f>AQ5*Params!$C7</f>
        <v>52.515614365426146</v>
      </c>
      <c r="AS6" s="10">
        <f>AR5*Params!$C7</f>
        <v>53.040770509080417</v>
      </c>
      <c r="AT6" s="10">
        <f>AS5*Params!$C7</f>
        <v>53.571178214171226</v>
      </c>
      <c r="AU6" s="10">
        <f>AT5*Params!$C7</f>
        <v>54.106889996312937</v>
      </c>
      <c r="AV6" s="10">
        <f>AU5*Params!$C7</f>
        <v>54.647958896276066</v>
      </c>
      <c r="AW6" s="10">
        <f>AV5*Params!$C7</f>
        <v>55.194438485238827</v>
      </c>
      <c r="AX6" s="10">
        <f>AW5*Params!$C7</f>
        <v>55.746382870091217</v>
      </c>
      <c r="AY6" s="10">
        <f>AX5*Params!$C7</f>
        <v>56.303846698792135</v>
      </c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Z6" s="18"/>
      <c r="DA6" s="18"/>
      <c r="DB6" s="18"/>
      <c r="DC6" s="18"/>
      <c r="DF6" s="18"/>
      <c r="DG6" s="18"/>
      <c r="DH6" s="18"/>
      <c r="DI6" s="18"/>
    </row>
    <row r="7" spans="1:113">
      <c r="CZ7" s="18"/>
      <c r="DA7" s="18"/>
      <c r="DB7" s="18"/>
      <c r="DC7" s="18"/>
      <c r="DF7" s="18"/>
      <c r="DG7" s="18"/>
      <c r="DH7" s="18"/>
      <c r="DI7" s="18"/>
    </row>
    <row r="8" spans="1:113" ht="15">
      <c r="A8" s="8" t="s">
        <v>2</v>
      </c>
      <c r="B8" s="11">
        <f>SUM(B3:B6)</f>
        <v>250</v>
      </c>
      <c r="C8" s="11">
        <f t="shared" ref="C8:AY8" si="2">SUM(C3:C6)</f>
        <v>277.25</v>
      </c>
      <c r="D8" s="11">
        <f t="shared" si="2"/>
        <v>297.33499999999998</v>
      </c>
      <c r="E8" s="11">
        <f t="shared" si="2"/>
        <v>307.52709999999996</v>
      </c>
      <c r="F8" s="11">
        <f t="shared" si="2"/>
        <v>310.60237100000001</v>
      </c>
      <c r="G8" s="11">
        <f t="shared" si="2"/>
        <v>313.70839470999999</v>
      </c>
      <c r="H8" s="11">
        <f t="shared" si="2"/>
        <v>316.84547865709993</v>
      </c>
      <c r="I8" s="11">
        <f t="shared" si="2"/>
        <v>320.01393344367096</v>
      </c>
      <c r="J8" s="11">
        <f t="shared" si="2"/>
        <v>323.21407277810766</v>
      </c>
      <c r="K8" s="11">
        <f t="shared" si="2"/>
        <v>326.44621350588875</v>
      </c>
      <c r="L8" s="11">
        <f t="shared" si="2"/>
        <v>329.71067564094767</v>
      </c>
      <c r="M8" s="11">
        <f t="shared" si="2"/>
        <v>333.00778239735718</v>
      </c>
      <c r="N8" s="11">
        <f t="shared" si="2"/>
        <v>336.33786022133069</v>
      </c>
      <c r="O8" s="11">
        <f t="shared" si="2"/>
        <v>339.70123882354403</v>
      </c>
      <c r="P8" s="11">
        <f t="shared" si="2"/>
        <v>343.09825121177948</v>
      </c>
      <c r="Q8" s="11">
        <f t="shared" si="2"/>
        <v>346.52923372389728</v>
      </c>
      <c r="R8" s="11">
        <f t="shared" si="2"/>
        <v>349.99452606113624</v>
      </c>
      <c r="S8" s="11">
        <f t="shared" si="2"/>
        <v>353.4944713217476</v>
      </c>
      <c r="T8" s="11">
        <f t="shared" si="2"/>
        <v>357.02941603496515</v>
      </c>
      <c r="U8" s="11">
        <f t="shared" si="2"/>
        <v>360.59971019531474</v>
      </c>
      <c r="V8" s="11">
        <f t="shared" si="2"/>
        <v>364.20570729726791</v>
      </c>
      <c r="W8" s="11">
        <f t="shared" si="2"/>
        <v>367.84776437024055</v>
      </c>
      <c r="X8" s="11">
        <f t="shared" si="2"/>
        <v>371.52624201394303</v>
      </c>
      <c r="Y8" s="11">
        <f t="shared" si="2"/>
        <v>375.24150443408246</v>
      </c>
      <c r="Z8" s="11">
        <f t="shared" si="2"/>
        <v>378.99391947842327</v>
      </c>
      <c r="AA8" s="11">
        <f t="shared" si="2"/>
        <v>382.78385867320753</v>
      </c>
      <c r="AB8" s="11">
        <f t="shared" si="2"/>
        <v>386.6116972599396</v>
      </c>
      <c r="AC8" s="11">
        <f t="shared" si="2"/>
        <v>390.47781423253906</v>
      </c>
      <c r="AD8" s="11">
        <f t="shared" si="2"/>
        <v>394.38259237486443</v>
      </c>
      <c r="AE8" s="11">
        <f t="shared" si="2"/>
        <v>398.32641829861319</v>
      </c>
      <c r="AF8" s="11">
        <f t="shared" si="2"/>
        <v>402.30968248159934</v>
      </c>
      <c r="AG8" s="11">
        <f t="shared" si="2"/>
        <v>406.33277930641532</v>
      </c>
      <c r="AH8" s="11">
        <f t="shared" si="2"/>
        <v>410.39610709947954</v>
      </c>
      <c r="AI8" s="11">
        <f t="shared" si="2"/>
        <v>414.50006817047426</v>
      </c>
      <c r="AJ8" s="11">
        <f t="shared" si="2"/>
        <v>418.64506885217901</v>
      </c>
      <c r="AK8" s="11">
        <f t="shared" si="2"/>
        <v>422.83151954070081</v>
      </c>
      <c r="AL8" s="11">
        <f t="shared" si="2"/>
        <v>427.0598347361078</v>
      </c>
      <c r="AM8" s="11">
        <f t="shared" si="2"/>
        <v>431.3304330834689</v>
      </c>
      <c r="AN8" s="11">
        <f t="shared" si="2"/>
        <v>435.64373741430359</v>
      </c>
      <c r="AO8" s="11">
        <f t="shared" si="2"/>
        <v>440.00017478844666</v>
      </c>
      <c r="AP8" s="11">
        <f t="shared" si="2"/>
        <v>444.40017653633112</v>
      </c>
      <c r="AQ8" s="11">
        <f t="shared" si="2"/>
        <v>448.84417830169446</v>
      </c>
      <c r="AR8" s="11">
        <f t="shared" si="2"/>
        <v>453.33262008471149</v>
      </c>
      <c r="AS8" s="11">
        <f t="shared" si="2"/>
        <v>457.86594628555861</v>
      </c>
      <c r="AT8" s="11">
        <f t="shared" si="2"/>
        <v>462.44460574841423</v>
      </c>
      <c r="AU8" s="11">
        <f t="shared" si="2"/>
        <v>467.06905180589831</v>
      </c>
      <c r="AV8" s="11">
        <f t="shared" si="2"/>
        <v>471.73974232395739</v>
      </c>
      <c r="AW8" s="11">
        <f t="shared" si="2"/>
        <v>476.45713974719695</v>
      </c>
      <c r="AX8" s="11">
        <f t="shared" si="2"/>
        <v>481.22171114466892</v>
      </c>
      <c r="AY8" s="11">
        <f t="shared" si="2"/>
        <v>486.03392825611553</v>
      </c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Z8" s="18"/>
      <c r="DA8" s="18"/>
      <c r="DB8" s="18"/>
      <c r="DC8" s="18"/>
      <c r="DF8" s="18"/>
      <c r="DG8" s="18"/>
      <c r="DH8" s="18"/>
      <c r="DI8" s="18"/>
    </row>
    <row r="9" spans="1:113">
      <c r="A9" s="4" t="s">
        <v>3</v>
      </c>
      <c r="C9" s="13">
        <f>C8/B8-1</f>
        <v>0.10899999999999999</v>
      </c>
      <c r="D9" s="13">
        <f>D8/C8-1</f>
        <v>7.2443642921550921E-2</v>
      </c>
      <c r="E9" s="13">
        <f>E8/D8-1</f>
        <v>3.4278171086484788E-2</v>
      </c>
      <c r="F9" s="13">
        <f>F8/E8-1</f>
        <v>1.0000000000000231E-2</v>
      </c>
      <c r="G9" s="13">
        <f t="shared" ref="G9:AY9" si="3">G8/F8-1</f>
        <v>1.0000000000000009E-2</v>
      </c>
      <c r="H9" s="13">
        <f t="shared" si="3"/>
        <v>9.9999999999997868E-3</v>
      </c>
      <c r="I9" s="13">
        <f t="shared" si="3"/>
        <v>1.0000000000000009E-2</v>
      </c>
      <c r="J9" s="13">
        <f t="shared" si="3"/>
        <v>1.0000000000000009E-2</v>
      </c>
      <c r="K9" s="13">
        <f t="shared" si="3"/>
        <v>1.0000000000000009E-2</v>
      </c>
      <c r="L9" s="13">
        <f t="shared" si="3"/>
        <v>1.0000000000000009E-2</v>
      </c>
      <c r="M9" s="13">
        <f t="shared" si="3"/>
        <v>1.0000000000000009E-2</v>
      </c>
      <c r="N9" s="13">
        <f t="shared" si="3"/>
        <v>9.9999999999997868E-3</v>
      </c>
      <c r="O9" s="13">
        <f t="shared" si="3"/>
        <v>1.0000000000000009E-2</v>
      </c>
      <c r="P9" s="13">
        <f t="shared" si="3"/>
        <v>1.0000000000000009E-2</v>
      </c>
      <c r="Q9" s="13">
        <f t="shared" si="3"/>
        <v>1.0000000000000009E-2</v>
      </c>
      <c r="R9" s="13">
        <f t="shared" si="3"/>
        <v>1.0000000000000009E-2</v>
      </c>
      <c r="S9" s="13">
        <f t="shared" si="3"/>
        <v>1.0000000000000009E-2</v>
      </c>
      <c r="T9" s="13">
        <f t="shared" si="3"/>
        <v>1.0000000000000231E-2</v>
      </c>
      <c r="U9" s="13">
        <f t="shared" si="3"/>
        <v>9.9999999999997868E-3</v>
      </c>
      <c r="V9" s="13">
        <f t="shared" si="3"/>
        <v>1.0000000000000009E-2</v>
      </c>
      <c r="W9" s="13">
        <f t="shared" si="3"/>
        <v>1.0000000000000009E-2</v>
      </c>
      <c r="X9" s="13">
        <f t="shared" si="3"/>
        <v>1.0000000000000231E-2</v>
      </c>
      <c r="Y9" s="13">
        <f t="shared" si="3"/>
        <v>1.0000000000000009E-2</v>
      </c>
      <c r="Z9" s="13">
        <f t="shared" si="3"/>
        <v>1.0000000000000009E-2</v>
      </c>
      <c r="AA9" s="13">
        <f t="shared" si="3"/>
        <v>1.0000000000000009E-2</v>
      </c>
      <c r="AB9" s="13">
        <f t="shared" si="3"/>
        <v>1.0000000000000009E-2</v>
      </c>
      <c r="AC9" s="13">
        <f t="shared" si="3"/>
        <v>1.0000000000000231E-2</v>
      </c>
      <c r="AD9" s="13">
        <f t="shared" si="3"/>
        <v>1.0000000000000009E-2</v>
      </c>
      <c r="AE9" s="13">
        <f t="shared" si="3"/>
        <v>1.0000000000000231E-2</v>
      </c>
      <c r="AF9" s="13">
        <f t="shared" si="3"/>
        <v>1.0000000000000009E-2</v>
      </c>
      <c r="AG9" s="13">
        <f t="shared" si="3"/>
        <v>1.0000000000000009E-2</v>
      </c>
      <c r="AH9" s="13">
        <f t="shared" si="3"/>
        <v>1.0000000000000231E-2</v>
      </c>
      <c r="AI9" s="13">
        <f t="shared" si="3"/>
        <v>9.9999999999997868E-3</v>
      </c>
      <c r="AJ9" s="13">
        <f t="shared" si="3"/>
        <v>1.0000000000000009E-2</v>
      </c>
      <c r="AK9" s="13">
        <f t="shared" si="3"/>
        <v>1.0000000000000009E-2</v>
      </c>
      <c r="AL9" s="13">
        <f t="shared" si="3"/>
        <v>1.0000000000000009E-2</v>
      </c>
      <c r="AM9" s="13">
        <f t="shared" si="3"/>
        <v>1.0000000000000009E-2</v>
      </c>
      <c r="AN9" s="13">
        <f t="shared" si="3"/>
        <v>1.0000000000000009E-2</v>
      </c>
      <c r="AO9" s="13">
        <f t="shared" si="3"/>
        <v>1.0000000000000009E-2</v>
      </c>
      <c r="AP9" s="13">
        <f t="shared" si="3"/>
        <v>1.0000000000000009E-2</v>
      </c>
      <c r="AQ9" s="13">
        <f t="shared" si="3"/>
        <v>1.0000000000000009E-2</v>
      </c>
      <c r="AR9" s="13">
        <f t="shared" si="3"/>
        <v>1.0000000000000231E-2</v>
      </c>
      <c r="AS9" s="13">
        <f t="shared" si="3"/>
        <v>1.0000000000000009E-2</v>
      </c>
      <c r="AT9" s="13">
        <f t="shared" si="3"/>
        <v>1.0000000000000009E-2</v>
      </c>
      <c r="AU9" s="13">
        <f t="shared" si="3"/>
        <v>9.9999999999997868E-3</v>
      </c>
      <c r="AV9" s="13">
        <f t="shared" si="3"/>
        <v>1.0000000000000231E-2</v>
      </c>
      <c r="AW9" s="13">
        <f t="shared" si="3"/>
        <v>1.0000000000000009E-2</v>
      </c>
      <c r="AX9" s="13">
        <f t="shared" si="3"/>
        <v>1.0000000000000009E-2</v>
      </c>
      <c r="AY9" s="13">
        <f t="shared" si="3"/>
        <v>9.9999999999997868E-3</v>
      </c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Z9" s="18"/>
      <c r="DA9" s="18"/>
      <c r="DB9" s="18"/>
      <c r="DC9" s="18"/>
      <c r="DF9" s="18"/>
      <c r="DG9" s="18"/>
      <c r="DH9" s="18"/>
      <c r="DI9" s="18"/>
    </row>
    <row r="10" spans="1:113">
      <c r="CZ10" s="18"/>
      <c r="DA10" s="18"/>
      <c r="DB10" s="18"/>
      <c r="DC10" s="18"/>
      <c r="DF10" s="18"/>
      <c r="DG10" s="18"/>
      <c r="DH10" s="18"/>
      <c r="DI10" s="18"/>
    </row>
    <row r="11" spans="1:113" ht="15">
      <c r="A11" s="15" t="s">
        <v>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Z11" s="18"/>
      <c r="DA11" s="18"/>
      <c r="DB11" s="18"/>
      <c r="DC11" s="18"/>
      <c r="DF11" s="18"/>
      <c r="DG11" s="18"/>
      <c r="DH11" s="18"/>
      <c r="DI11" s="18"/>
    </row>
    <row r="12" spans="1:113">
      <c r="A12" s="4">
        <v>0</v>
      </c>
      <c r="B12" s="9">
        <f t="shared" ref="B12:AY15" si="4">B3/B$8</f>
        <v>0.4</v>
      </c>
      <c r="C12" s="9">
        <f t="shared" si="4"/>
        <v>0.36429215509467988</v>
      </c>
      <c r="D12" s="9">
        <f t="shared" si="4"/>
        <v>0.34308103654127503</v>
      </c>
      <c r="E12" s="9">
        <f t="shared" si="4"/>
        <v>0.33502770975305923</v>
      </c>
      <c r="F12" s="9">
        <f t="shared" si="4"/>
        <v>0.33502770975305918</v>
      </c>
      <c r="G12" s="9">
        <f t="shared" si="4"/>
        <v>0.33502770975305918</v>
      </c>
      <c r="H12" s="9">
        <f t="shared" si="4"/>
        <v>0.33502770975305923</v>
      </c>
      <c r="I12" s="9">
        <f t="shared" si="4"/>
        <v>0.33502770975305918</v>
      </c>
      <c r="J12" s="9">
        <f t="shared" si="4"/>
        <v>0.33502770975305918</v>
      </c>
      <c r="K12" s="9">
        <f t="shared" si="4"/>
        <v>0.33502770975305918</v>
      </c>
      <c r="L12" s="9">
        <f t="shared" si="4"/>
        <v>0.33502770975305918</v>
      </c>
      <c r="M12" s="9">
        <f t="shared" si="4"/>
        <v>0.33502770975305918</v>
      </c>
      <c r="N12" s="9">
        <f t="shared" si="4"/>
        <v>0.33502770975305923</v>
      </c>
      <c r="O12" s="9">
        <f t="shared" si="4"/>
        <v>0.33502770975305918</v>
      </c>
      <c r="P12" s="9">
        <f t="shared" si="4"/>
        <v>0.33502770975305918</v>
      </c>
      <c r="Q12" s="9">
        <f t="shared" si="4"/>
        <v>0.33502770975305918</v>
      </c>
      <c r="R12" s="9">
        <f t="shared" si="4"/>
        <v>0.33502770975305918</v>
      </c>
      <c r="S12" s="9">
        <f t="shared" si="4"/>
        <v>0.33502770975305923</v>
      </c>
      <c r="T12" s="9">
        <f t="shared" si="4"/>
        <v>0.33502770975305912</v>
      </c>
      <c r="U12" s="9">
        <f t="shared" si="4"/>
        <v>0.33502770975305923</v>
      </c>
      <c r="V12" s="9">
        <f t="shared" si="4"/>
        <v>0.33502770975305918</v>
      </c>
      <c r="W12" s="9">
        <f t="shared" si="4"/>
        <v>0.33502770975305923</v>
      </c>
      <c r="X12" s="9">
        <f t="shared" si="4"/>
        <v>0.33502770975305918</v>
      </c>
      <c r="Y12" s="9">
        <f t="shared" si="4"/>
        <v>0.33502770975305918</v>
      </c>
      <c r="Z12" s="9">
        <f t="shared" si="4"/>
        <v>0.33502770975305923</v>
      </c>
      <c r="AA12" s="9">
        <f t="shared" si="4"/>
        <v>0.33502770975305923</v>
      </c>
      <c r="AB12" s="9">
        <f t="shared" si="4"/>
        <v>0.33502770975305923</v>
      </c>
      <c r="AC12" s="9">
        <f t="shared" si="4"/>
        <v>0.33502770975305923</v>
      </c>
      <c r="AD12" s="9">
        <f t="shared" si="4"/>
        <v>0.33502770975305923</v>
      </c>
      <c r="AE12" s="9">
        <f t="shared" si="4"/>
        <v>0.33502770975305918</v>
      </c>
      <c r="AF12" s="9">
        <f t="shared" si="4"/>
        <v>0.33502770975305912</v>
      </c>
      <c r="AG12" s="9">
        <f t="shared" si="4"/>
        <v>0.33502770975305918</v>
      </c>
      <c r="AH12" s="9">
        <f t="shared" si="4"/>
        <v>0.33502770975305918</v>
      </c>
      <c r="AI12" s="9">
        <f t="shared" si="4"/>
        <v>0.33502770975305918</v>
      </c>
      <c r="AJ12" s="9">
        <f t="shared" si="4"/>
        <v>0.33502770975305918</v>
      </c>
      <c r="AK12" s="9">
        <f t="shared" si="4"/>
        <v>0.33502770975305918</v>
      </c>
      <c r="AL12" s="9">
        <f t="shared" si="4"/>
        <v>0.33502770975305918</v>
      </c>
      <c r="AM12" s="9">
        <f t="shared" si="4"/>
        <v>0.33502770975305918</v>
      </c>
      <c r="AN12" s="9">
        <f t="shared" si="4"/>
        <v>0.33502770975305923</v>
      </c>
      <c r="AO12" s="9">
        <f t="shared" si="4"/>
        <v>0.33502770975305923</v>
      </c>
      <c r="AP12" s="9">
        <f t="shared" si="4"/>
        <v>0.33502770975305923</v>
      </c>
      <c r="AQ12" s="9">
        <f t="shared" si="4"/>
        <v>0.33502770975305923</v>
      </c>
      <c r="AR12" s="9">
        <f t="shared" si="4"/>
        <v>0.33502770975305918</v>
      </c>
      <c r="AS12" s="9">
        <f t="shared" si="4"/>
        <v>0.33502770975305918</v>
      </c>
      <c r="AT12" s="9">
        <f t="shared" si="4"/>
        <v>0.33502770975305918</v>
      </c>
      <c r="AU12" s="9">
        <f t="shared" si="4"/>
        <v>0.33502770975305923</v>
      </c>
      <c r="AV12" s="9">
        <f t="shared" si="4"/>
        <v>0.33502770975305918</v>
      </c>
      <c r="AW12" s="9">
        <f t="shared" si="4"/>
        <v>0.33502770975305912</v>
      </c>
      <c r="AX12" s="9">
        <f t="shared" si="4"/>
        <v>0.33502770975305912</v>
      </c>
      <c r="AY12" s="9">
        <f t="shared" si="4"/>
        <v>0.33502770975305918</v>
      </c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Z12" s="18"/>
      <c r="DA12" s="18"/>
      <c r="DB12" s="18"/>
      <c r="DC12" s="18"/>
      <c r="DF12" s="18"/>
      <c r="DG12" s="18"/>
      <c r="DH12" s="18"/>
      <c r="DI12" s="18"/>
    </row>
    <row r="13" spans="1:113">
      <c r="A13" s="4">
        <f>A12+1</f>
        <v>1</v>
      </c>
      <c r="B13" s="9">
        <f t="shared" si="4"/>
        <v>0.3</v>
      </c>
      <c r="C13" s="9">
        <f t="shared" si="4"/>
        <v>0.34265103697024346</v>
      </c>
      <c r="D13" s="9">
        <f t="shared" si="4"/>
        <v>0.32269998486555568</v>
      </c>
      <c r="E13" s="9">
        <f t="shared" si="4"/>
        <v>0.31512507353010516</v>
      </c>
      <c r="F13" s="9">
        <f t="shared" si="4"/>
        <v>0.31512507353010516</v>
      </c>
      <c r="G13" s="9">
        <f t="shared" si="4"/>
        <v>0.31512507353010516</v>
      </c>
      <c r="H13" s="9">
        <f t="shared" si="4"/>
        <v>0.31512507353010516</v>
      </c>
      <c r="I13" s="9">
        <f t="shared" si="4"/>
        <v>0.31512507353010516</v>
      </c>
      <c r="J13" s="9">
        <f t="shared" si="4"/>
        <v>0.31512507353010516</v>
      </c>
      <c r="K13" s="9">
        <f t="shared" si="4"/>
        <v>0.31512507353010516</v>
      </c>
      <c r="L13" s="9">
        <f t="shared" si="4"/>
        <v>0.3151250735301051</v>
      </c>
      <c r="M13" s="9">
        <f t="shared" si="4"/>
        <v>0.3151250735301051</v>
      </c>
      <c r="N13" s="9">
        <f t="shared" si="4"/>
        <v>0.31512507353010522</v>
      </c>
      <c r="O13" s="9">
        <f t="shared" si="4"/>
        <v>0.31512507353010516</v>
      </c>
      <c r="P13" s="9">
        <f t="shared" si="4"/>
        <v>0.31512507353010516</v>
      </c>
      <c r="Q13" s="9">
        <f t="shared" si="4"/>
        <v>0.31512507353010516</v>
      </c>
      <c r="R13" s="9">
        <f t="shared" si="4"/>
        <v>0.31512507353010516</v>
      </c>
      <c r="S13" s="9">
        <f t="shared" si="4"/>
        <v>0.31512507353010516</v>
      </c>
      <c r="T13" s="9">
        <f t="shared" si="4"/>
        <v>0.3151250735301051</v>
      </c>
      <c r="U13" s="9">
        <f t="shared" si="4"/>
        <v>0.31512507353010516</v>
      </c>
      <c r="V13" s="9">
        <f t="shared" si="4"/>
        <v>0.31512507353010516</v>
      </c>
      <c r="W13" s="9">
        <f t="shared" si="4"/>
        <v>0.31512507353010522</v>
      </c>
      <c r="X13" s="9">
        <f t="shared" si="4"/>
        <v>0.3151250735301051</v>
      </c>
      <c r="Y13" s="9">
        <f t="shared" si="4"/>
        <v>0.31512507353010516</v>
      </c>
      <c r="Z13" s="9">
        <f t="shared" si="4"/>
        <v>0.31512507353010522</v>
      </c>
      <c r="AA13" s="9">
        <f t="shared" si="4"/>
        <v>0.31512507353010516</v>
      </c>
      <c r="AB13" s="9">
        <f t="shared" si="4"/>
        <v>0.31512507353010516</v>
      </c>
      <c r="AC13" s="9">
        <f t="shared" si="4"/>
        <v>0.31512507353010516</v>
      </c>
      <c r="AD13" s="9">
        <f t="shared" si="4"/>
        <v>0.31512507353010522</v>
      </c>
      <c r="AE13" s="9">
        <f t="shared" si="4"/>
        <v>0.31512507353010516</v>
      </c>
      <c r="AF13" s="9">
        <f t="shared" si="4"/>
        <v>0.31512507353010516</v>
      </c>
      <c r="AG13" s="9">
        <f t="shared" si="4"/>
        <v>0.31512507353010516</v>
      </c>
      <c r="AH13" s="9">
        <f t="shared" si="4"/>
        <v>0.3151250735301051</v>
      </c>
      <c r="AI13" s="9">
        <f t="shared" si="4"/>
        <v>0.31512507353010516</v>
      </c>
      <c r="AJ13" s="9">
        <f t="shared" si="4"/>
        <v>0.31512507353010516</v>
      </c>
      <c r="AK13" s="9">
        <f t="shared" si="4"/>
        <v>0.31512507353010516</v>
      </c>
      <c r="AL13" s="9">
        <f t="shared" si="4"/>
        <v>0.3151250735301051</v>
      </c>
      <c r="AM13" s="9">
        <f t="shared" si="4"/>
        <v>0.3151250735301051</v>
      </c>
      <c r="AN13" s="9">
        <f t="shared" si="4"/>
        <v>0.3151250735301051</v>
      </c>
      <c r="AO13" s="9">
        <f t="shared" si="4"/>
        <v>0.31512507353010516</v>
      </c>
      <c r="AP13" s="9">
        <f t="shared" si="4"/>
        <v>0.31512507353010516</v>
      </c>
      <c r="AQ13" s="9">
        <f t="shared" si="4"/>
        <v>0.31512507353010522</v>
      </c>
      <c r="AR13" s="9">
        <f t="shared" si="4"/>
        <v>0.31512507353010516</v>
      </c>
      <c r="AS13" s="9">
        <f t="shared" si="4"/>
        <v>0.31512507353010516</v>
      </c>
      <c r="AT13" s="9">
        <f t="shared" si="4"/>
        <v>0.31512507353010516</v>
      </c>
      <c r="AU13" s="9">
        <f t="shared" si="4"/>
        <v>0.31512507353010516</v>
      </c>
      <c r="AV13" s="9">
        <f t="shared" si="4"/>
        <v>0.3151250735301051</v>
      </c>
      <c r="AW13" s="9">
        <f t="shared" si="4"/>
        <v>0.31512507353010516</v>
      </c>
      <c r="AX13" s="9">
        <f t="shared" si="4"/>
        <v>0.3151250735301051</v>
      </c>
      <c r="AY13" s="9">
        <f t="shared" si="4"/>
        <v>0.31512507353010516</v>
      </c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Z13" s="18"/>
      <c r="DA13" s="18"/>
      <c r="DB13" s="18"/>
      <c r="DC13" s="18"/>
      <c r="DF13" s="18"/>
      <c r="DG13" s="18"/>
      <c r="DH13" s="18"/>
      <c r="DI13" s="18"/>
    </row>
    <row r="14" spans="1:113">
      <c r="A14" s="4">
        <f t="shared" ref="A14:A15" si="5">A13+1</f>
        <v>2</v>
      </c>
      <c r="B14" s="9">
        <f t="shared" si="4"/>
        <v>0.2</v>
      </c>
      <c r="C14" s="9">
        <f t="shared" si="4"/>
        <v>0.20288548241659152</v>
      </c>
      <c r="D14" s="9">
        <f t="shared" si="4"/>
        <v>0.23962870163283839</v>
      </c>
      <c r="E14" s="9">
        <f t="shared" si="4"/>
        <v>0.23400376747285037</v>
      </c>
      <c r="F14" s="9">
        <f t="shared" si="4"/>
        <v>0.23400376747285034</v>
      </c>
      <c r="G14" s="9">
        <f t="shared" si="4"/>
        <v>0.23400376747285037</v>
      </c>
      <c r="H14" s="9">
        <f t="shared" si="4"/>
        <v>0.2340037674728504</v>
      </c>
      <c r="I14" s="9">
        <f t="shared" si="4"/>
        <v>0.23400376747285037</v>
      </c>
      <c r="J14" s="9">
        <f t="shared" si="4"/>
        <v>0.23400376747285037</v>
      </c>
      <c r="K14" s="9">
        <f t="shared" si="4"/>
        <v>0.23400376747285034</v>
      </c>
      <c r="L14" s="9">
        <f t="shared" si="4"/>
        <v>0.23400376747285037</v>
      </c>
      <c r="M14" s="9">
        <f t="shared" si="4"/>
        <v>0.23400376747285032</v>
      </c>
      <c r="N14" s="9">
        <f t="shared" si="4"/>
        <v>0.2340037674728504</v>
      </c>
      <c r="O14" s="9">
        <f t="shared" si="4"/>
        <v>0.2340037674728504</v>
      </c>
      <c r="P14" s="9">
        <f t="shared" si="4"/>
        <v>0.23400376747285037</v>
      </c>
      <c r="Q14" s="9">
        <f t="shared" si="4"/>
        <v>0.23400376747285037</v>
      </c>
      <c r="R14" s="9">
        <f t="shared" si="4"/>
        <v>0.23400376747285037</v>
      </c>
      <c r="S14" s="9">
        <f t="shared" si="4"/>
        <v>0.23400376747285034</v>
      </c>
      <c r="T14" s="9">
        <f t="shared" si="4"/>
        <v>0.23400376747285029</v>
      </c>
      <c r="U14" s="9">
        <f t="shared" si="4"/>
        <v>0.23400376747285034</v>
      </c>
      <c r="V14" s="9">
        <f t="shared" si="4"/>
        <v>0.23400376747285034</v>
      </c>
      <c r="W14" s="9">
        <f t="shared" si="4"/>
        <v>0.23400376747285037</v>
      </c>
      <c r="X14" s="9">
        <f t="shared" si="4"/>
        <v>0.23400376747285037</v>
      </c>
      <c r="Y14" s="9">
        <f t="shared" si="4"/>
        <v>0.23400376747285034</v>
      </c>
      <c r="Z14" s="9">
        <f t="shared" si="4"/>
        <v>0.23400376747285034</v>
      </c>
      <c r="AA14" s="9">
        <f t="shared" si="4"/>
        <v>0.23400376747285037</v>
      </c>
      <c r="AB14" s="9">
        <f t="shared" si="4"/>
        <v>0.23400376747285034</v>
      </c>
      <c r="AC14" s="9">
        <f t="shared" si="4"/>
        <v>0.23400376747285032</v>
      </c>
      <c r="AD14" s="9">
        <f t="shared" si="4"/>
        <v>0.23400376747285037</v>
      </c>
      <c r="AE14" s="9">
        <f t="shared" si="4"/>
        <v>0.23400376747285032</v>
      </c>
      <c r="AF14" s="9">
        <f t="shared" si="4"/>
        <v>0.23400376747285034</v>
      </c>
      <c r="AG14" s="9">
        <f t="shared" si="4"/>
        <v>0.23400376747285037</v>
      </c>
      <c r="AH14" s="9">
        <f t="shared" si="4"/>
        <v>0.23400376747285032</v>
      </c>
      <c r="AI14" s="9">
        <f t="shared" si="4"/>
        <v>0.23400376747285037</v>
      </c>
      <c r="AJ14" s="9">
        <f t="shared" si="4"/>
        <v>0.23400376747285034</v>
      </c>
      <c r="AK14" s="9">
        <f t="shared" si="4"/>
        <v>0.2340037674728504</v>
      </c>
      <c r="AL14" s="9">
        <f t="shared" si="4"/>
        <v>0.2340037674728504</v>
      </c>
      <c r="AM14" s="9">
        <f t="shared" si="4"/>
        <v>0.23400376747285032</v>
      </c>
      <c r="AN14" s="9">
        <f t="shared" si="4"/>
        <v>0.23400376747285034</v>
      </c>
      <c r="AO14" s="9">
        <f t="shared" si="4"/>
        <v>0.23400376747285032</v>
      </c>
      <c r="AP14" s="9">
        <f t="shared" si="4"/>
        <v>0.23400376747285037</v>
      </c>
      <c r="AQ14" s="9">
        <f t="shared" si="4"/>
        <v>0.23400376747285034</v>
      </c>
      <c r="AR14" s="9">
        <f t="shared" si="4"/>
        <v>0.23400376747285034</v>
      </c>
      <c r="AS14" s="9">
        <f t="shared" si="4"/>
        <v>0.23400376747285037</v>
      </c>
      <c r="AT14" s="9">
        <f t="shared" si="4"/>
        <v>0.23400376747285034</v>
      </c>
      <c r="AU14" s="9">
        <f t="shared" si="4"/>
        <v>0.23400376747285037</v>
      </c>
      <c r="AV14" s="9">
        <f t="shared" si="4"/>
        <v>0.23400376747285032</v>
      </c>
      <c r="AW14" s="9">
        <f t="shared" si="4"/>
        <v>0.23400376747285034</v>
      </c>
      <c r="AX14" s="9">
        <f t="shared" si="4"/>
        <v>0.23400376747285037</v>
      </c>
      <c r="AY14" s="9">
        <f t="shared" si="4"/>
        <v>0.23400376747285037</v>
      </c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Z14" s="18"/>
      <c r="DA14" s="18"/>
      <c r="DB14" s="18"/>
      <c r="DC14" s="18"/>
      <c r="DF14" s="18"/>
      <c r="DG14" s="18"/>
      <c r="DH14" s="18"/>
      <c r="DI14" s="18"/>
    </row>
    <row r="15" spans="1:113">
      <c r="A15" s="4">
        <f t="shared" si="5"/>
        <v>3</v>
      </c>
      <c r="B15" s="9">
        <f t="shared" si="4"/>
        <v>0.1</v>
      </c>
      <c r="C15" s="9">
        <f t="shared" si="4"/>
        <v>9.0171325518485126E-2</v>
      </c>
      <c r="D15" s="9">
        <f t="shared" si="4"/>
        <v>9.4590276960330941E-2</v>
      </c>
      <c r="E15" s="9">
        <f t="shared" si="4"/>
        <v>0.11584344924398535</v>
      </c>
      <c r="F15" s="9">
        <f t="shared" si="4"/>
        <v>0.11584344924398531</v>
      </c>
      <c r="G15" s="9">
        <f t="shared" si="4"/>
        <v>0.11584344924398533</v>
      </c>
      <c r="H15" s="9">
        <f t="shared" si="4"/>
        <v>0.11584344924398535</v>
      </c>
      <c r="I15" s="9">
        <f t="shared" si="4"/>
        <v>0.11584344924398533</v>
      </c>
      <c r="J15" s="9">
        <f t="shared" si="4"/>
        <v>0.11584344924398533</v>
      </c>
      <c r="K15" s="9">
        <f t="shared" si="4"/>
        <v>0.11584344924398533</v>
      </c>
      <c r="L15" s="9">
        <f t="shared" si="4"/>
        <v>0.11584344924398531</v>
      </c>
      <c r="M15" s="9">
        <f t="shared" si="4"/>
        <v>0.11584344924398532</v>
      </c>
      <c r="N15" s="9">
        <f t="shared" si="4"/>
        <v>0.11584344924398533</v>
      </c>
      <c r="O15" s="9">
        <f t="shared" si="4"/>
        <v>0.11584344924398533</v>
      </c>
      <c r="P15" s="9">
        <f t="shared" si="4"/>
        <v>0.11584344924398533</v>
      </c>
      <c r="Q15" s="9">
        <f t="shared" si="4"/>
        <v>0.11584344924398533</v>
      </c>
      <c r="R15" s="9">
        <f t="shared" si="4"/>
        <v>0.11584344924398533</v>
      </c>
      <c r="S15" s="9">
        <f t="shared" si="4"/>
        <v>0.11584344924398533</v>
      </c>
      <c r="T15" s="9">
        <f t="shared" si="4"/>
        <v>0.11584344924398529</v>
      </c>
      <c r="U15" s="9">
        <f t="shared" si="4"/>
        <v>0.11584344924398532</v>
      </c>
      <c r="V15" s="9">
        <f t="shared" si="4"/>
        <v>0.11584344924398532</v>
      </c>
      <c r="W15" s="9">
        <f t="shared" si="4"/>
        <v>0.11584344924398532</v>
      </c>
      <c r="X15" s="9">
        <f t="shared" si="4"/>
        <v>0.11584344924398532</v>
      </c>
      <c r="Y15" s="9">
        <f t="shared" si="4"/>
        <v>0.11584344924398533</v>
      </c>
      <c r="Z15" s="9">
        <f t="shared" si="4"/>
        <v>0.11584344924398532</v>
      </c>
      <c r="AA15" s="9">
        <f t="shared" si="4"/>
        <v>0.11584344924398532</v>
      </c>
      <c r="AB15" s="9">
        <f t="shared" si="4"/>
        <v>0.11584344924398533</v>
      </c>
      <c r="AC15" s="9">
        <f t="shared" si="4"/>
        <v>0.11584344924398531</v>
      </c>
      <c r="AD15" s="9">
        <f t="shared" si="4"/>
        <v>0.11584344924398532</v>
      </c>
      <c r="AE15" s="9">
        <f t="shared" si="4"/>
        <v>0.11584344924398529</v>
      </c>
      <c r="AF15" s="9">
        <f t="shared" si="4"/>
        <v>0.11584344924398531</v>
      </c>
      <c r="AG15" s="9">
        <f t="shared" si="4"/>
        <v>0.11584344924398532</v>
      </c>
      <c r="AH15" s="9">
        <f t="shared" si="4"/>
        <v>0.11584344924398532</v>
      </c>
      <c r="AI15" s="9">
        <f t="shared" si="4"/>
        <v>0.11584344924398532</v>
      </c>
      <c r="AJ15" s="9">
        <f t="shared" si="4"/>
        <v>0.11584344924398533</v>
      </c>
      <c r="AK15" s="9">
        <f t="shared" si="4"/>
        <v>0.11584344924398532</v>
      </c>
      <c r="AL15" s="9">
        <f t="shared" si="4"/>
        <v>0.11584344924398535</v>
      </c>
      <c r="AM15" s="9">
        <f t="shared" si="4"/>
        <v>0.11584344924398533</v>
      </c>
      <c r="AN15" s="9">
        <f t="shared" si="4"/>
        <v>0.11584344924398531</v>
      </c>
      <c r="AO15" s="9">
        <f t="shared" si="4"/>
        <v>0.11584344924398531</v>
      </c>
      <c r="AP15" s="9">
        <f t="shared" si="4"/>
        <v>0.11584344924398531</v>
      </c>
      <c r="AQ15" s="9">
        <f t="shared" si="4"/>
        <v>0.11584344924398532</v>
      </c>
      <c r="AR15" s="9">
        <f t="shared" si="4"/>
        <v>0.11584344924398529</v>
      </c>
      <c r="AS15" s="9">
        <f t="shared" si="4"/>
        <v>0.11584344924398532</v>
      </c>
      <c r="AT15" s="9">
        <f t="shared" si="4"/>
        <v>0.11584344924398532</v>
      </c>
      <c r="AU15" s="9">
        <f t="shared" si="4"/>
        <v>0.11584344924398533</v>
      </c>
      <c r="AV15" s="9">
        <f t="shared" si="4"/>
        <v>0.11584344924398531</v>
      </c>
      <c r="AW15" s="9">
        <f t="shared" si="4"/>
        <v>0.11584344924398532</v>
      </c>
      <c r="AX15" s="9">
        <f t="shared" si="4"/>
        <v>0.11584344924398532</v>
      </c>
      <c r="AY15" s="9">
        <f t="shared" si="4"/>
        <v>0.11584344924398535</v>
      </c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Z15" s="18"/>
      <c r="DA15" s="18"/>
      <c r="DB15" s="18"/>
      <c r="DC15" s="18"/>
      <c r="DF15" s="18"/>
      <c r="DG15" s="18"/>
      <c r="DH15" s="18"/>
      <c r="DI15" s="18"/>
    </row>
    <row r="16" spans="1:113">
      <c r="CZ16" s="18"/>
      <c r="DA16" s="18"/>
      <c r="DB16" s="18"/>
      <c r="DC16" s="18"/>
      <c r="DF16" s="18"/>
      <c r="DG16" s="18"/>
      <c r="DH16" s="18"/>
      <c r="DI16" s="18"/>
    </row>
    <row r="17" spans="1:113" ht="15">
      <c r="A17" s="15" t="s">
        <v>1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Z17" s="18"/>
      <c r="DA17" s="18"/>
      <c r="DB17" s="18"/>
      <c r="DC17" s="18"/>
      <c r="DF17" s="18"/>
      <c r="DG17" s="18"/>
      <c r="DH17" s="18"/>
      <c r="DI17" s="18"/>
    </row>
    <row r="18" spans="1:113">
      <c r="A18" s="4">
        <v>0</v>
      </c>
      <c r="C18" s="17">
        <f>ABS(C12-B12)</f>
        <v>3.5707844905320141E-2</v>
      </c>
      <c r="D18" s="17">
        <f t="shared" ref="D18:AY21" si="6">ABS(D12-C12)</f>
        <v>2.1211118553404851E-2</v>
      </c>
      <c r="E18" s="17">
        <f t="shared" si="6"/>
        <v>8.0533267882157977E-3</v>
      </c>
      <c r="F18" s="17">
        <f t="shared" si="6"/>
        <v>5.5511151231257827E-17</v>
      </c>
      <c r="G18" s="17">
        <f t="shared" si="6"/>
        <v>0</v>
      </c>
      <c r="H18" s="17">
        <f t="shared" si="6"/>
        <v>5.5511151231257827E-17</v>
      </c>
      <c r="I18" s="17">
        <f t="shared" si="6"/>
        <v>5.5511151231257827E-17</v>
      </c>
      <c r="J18" s="17">
        <f t="shared" si="6"/>
        <v>0</v>
      </c>
      <c r="K18" s="17">
        <f t="shared" si="6"/>
        <v>0</v>
      </c>
      <c r="L18" s="17">
        <f t="shared" si="6"/>
        <v>0</v>
      </c>
      <c r="M18" s="17">
        <f t="shared" si="6"/>
        <v>0</v>
      </c>
      <c r="N18" s="17">
        <f t="shared" si="6"/>
        <v>5.5511151231257827E-17</v>
      </c>
      <c r="O18" s="17">
        <f t="shared" si="6"/>
        <v>5.5511151231257827E-17</v>
      </c>
      <c r="P18" s="17">
        <f t="shared" si="6"/>
        <v>0</v>
      </c>
      <c r="Q18" s="17">
        <f t="shared" si="6"/>
        <v>0</v>
      </c>
      <c r="R18" s="17">
        <f t="shared" si="6"/>
        <v>0</v>
      </c>
      <c r="S18" s="17">
        <f t="shared" si="6"/>
        <v>5.5511151231257827E-17</v>
      </c>
      <c r="T18" s="17">
        <f t="shared" si="6"/>
        <v>1.1102230246251565E-16</v>
      </c>
      <c r="U18" s="17">
        <f t="shared" si="6"/>
        <v>1.1102230246251565E-16</v>
      </c>
      <c r="V18" s="17">
        <f t="shared" si="6"/>
        <v>5.5511151231257827E-17</v>
      </c>
      <c r="W18" s="17">
        <f t="shared" si="6"/>
        <v>5.5511151231257827E-17</v>
      </c>
      <c r="X18" s="17">
        <f t="shared" si="6"/>
        <v>5.5511151231257827E-17</v>
      </c>
      <c r="Y18" s="17">
        <f t="shared" si="6"/>
        <v>0</v>
      </c>
      <c r="Z18" s="17">
        <f t="shared" si="6"/>
        <v>5.5511151231257827E-17</v>
      </c>
      <c r="AA18" s="17">
        <f t="shared" si="6"/>
        <v>0</v>
      </c>
      <c r="AB18" s="17">
        <f t="shared" si="6"/>
        <v>0</v>
      </c>
      <c r="AC18" s="17">
        <f t="shared" si="6"/>
        <v>0</v>
      </c>
      <c r="AD18" s="17">
        <f t="shared" si="6"/>
        <v>0</v>
      </c>
      <c r="AE18" s="17">
        <f t="shared" si="6"/>
        <v>5.5511151231257827E-17</v>
      </c>
      <c r="AF18" s="17">
        <f t="shared" si="6"/>
        <v>5.5511151231257827E-17</v>
      </c>
      <c r="AG18" s="17">
        <f t="shared" si="6"/>
        <v>5.5511151231257827E-17</v>
      </c>
      <c r="AH18" s="17">
        <f t="shared" si="6"/>
        <v>0</v>
      </c>
      <c r="AI18" s="17">
        <f t="shared" si="6"/>
        <v>0</v>
      </c>
      <c r="AJ18" s="17">
        <f t="shared" si="6"/>
        <v>0</v>
      </c>
      <c r="AK18" s="17">
        <f t="shared" si="6"/>
        <v>0</v>
      </c>
      <c r="AL18" s="17">
        <f t="shared" si="6"/>
        <v>0</v>
      </c>
      <c r="AM18" s="17">
        <f t="shared" si="6"/>
        <v>0</v>
      </c>
      <c r="AN18" s="17">
        <f t="shared" si="6"/>
        <v>5.5511151231257827E-17</v>
      </c>
      <c r="AO18" s="17">
        <f t="shared" si="6"/>
        <v>0</v>
      </c>
      <c r="AP18" s="17">
        <f t="shared" si="6"/>
        <v>0</v>
      </c>
      <c r="AQ18" s="17">
        <f t="shared" si="6"/>
        <v>0</v>
      </c>
      <c r="AR18" s="17">
        <f t="shared" si="6"/>
        <v>5.5511151231257827E-17</v>
      </c>
      <c r="AS18" s="17">
        <f t="shared" si="6"/>
        <v>0</v>
      </c>
      <c r="AT18" s="17">
        <f t="shared" si="6"/>
        <v>0</v>
      </c>
      <c r="AU18" s="17">
        <f t="shared" si="6"/>
        <v>5.5511151231257827E-17</v>
      </c>
      <c r="AV18" s="17">
        <f t="shared" si="6"/>
        <v>5.5511151231257827E-17</v>
      </c>
      <c r="AW18" s="17">
        <f t="shared" si="6"/>
        <v>5.5511151231257827E-17</v>
      </c>
      <c r="AX18" s="17">
        <f t="shared" si="6"/>
        <v>0</v>
      </c>
      <c r="AY18" s="17">
        <f t="shared" si="6"/>
        <v>5.5511151231257827E-17</v>
      </c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Z18" s="18"/>
      <c r="DA18" s="18"/>
      <c r="DB18" s="18"/>
      <c r="DC18" s="18"/>
      <c r="DF18" s="18"/>
      <c r="DG18" s="18"/>
      <c r="DH18" s="18"/>
      <c r="DI18" s="18"/>
    </row>
    <row r="19" spans="1:113">
      <c r="A19" s="4">
        <f>A18+1</f>
        <v>1</v>
      </c>
      <c r="C19" s="17">
        <f>ABS(C13-B13)</f>
        <v>4.2651036970243472E-2</v>
      </c>
      <c r="D19" s="17">
        <f t="shared" si="6"/>
        <v>1.9951052104687783E-2</v>
      </c>
      <c r="E19" s="17">
        <f t="shared" si="6"/>
        <v>7.5749113354505182E-3</v>
      </c>
      <c r="F19" s="17">
        <f t="shared" si="6"/>
        <v>0</v>
      </c>
      <c r="G19" s="17">
        <f t="shared" si="6"/>
        <v>0</v>
      </c>
      <c r="H19" s="17">
        <f t="shared" si="6"/>
        <v>0</v>
      </c>
      <c r="I19" s="17">
        <f t="shared" si="6"/>
        <v>0</v>
      </c>
      <c r="J19" s="17">
        <f t="shared" si="6"/>
        <v>0</v>
      </c>
      <c r="K19" s="17">
        <f t="shared" si="6"/>
        <v>0</v>
      </c>
      <c r="L19" s="17">
        <f t="shared" si="6"/>
        <v>5.5511151231257827E-17</v>
      </c>
      <c r="M19" s="17">
        <f t="shared" si="6"/>
        <v>0</v>
      </c>
      <c r="N19" s="17">
        <f t="shared" si="6"/>
        <v>1.1102230246251565E-16</v>
      </c>
      <c r="O19" s="17">
        <f t="shared" si="6"/>
        <v>5.5511151231257827E-17</v>
      </c>
      <c r="P19" s="17">
        <f t="shared" si="6"/>
        <v>0</v>
      </c>
      <c r="Q19" s="17">
        <f t="shared" si="6"/>
        <v>0</v>
      </c>
      <c r="R19" s="17">
        <f t="shared" si="6"/>
        <v>0</v>
      </c>
      <c r="S19" s="17">
        <f t="shared" si="6"/>
        <v>0</v>
      </c>
      <c r="T19" s="17">
        <f t="shared" si="6"/>
        <v>5.5511151231257827E-17</v>
      </c>
      <c r="U19" s="17">
        <f t="shared" si="6"/>
        <v>5.5511151231257827E-17</v>
      </c>
      <c r="V19" s="17">
        <f t="shared" si="6"/>
        <v>0</v>
      </c>
      <c r="W19" s="17">
        <f t="shared" si="6"/>
        <v>5.5511151231257827E-17</v>
      </c>
      <c r="X19" s="17">
        <f t="shared" si="6"/>
        <v>1.1102230246251565E-16</v>
      </c>
      <c r="Y19" s="17">
        <f t="shared" si="6"/>
        <v>5.5511151231257827E-17</v>
      </c>
      <c r="Z19" s="17">
        <f t="shared" si="6"/>
        <v>5.5511151231257827E-17</v>
      </c>
      <c r="AA19" s="17">
        <f t="shared" si="6"/>
        <v>5.5511151231257827E-17</v>
      </c>
      <c r="AB19" s="17">
        <f t="shared" si="6"/>
        <v>0</v>
      </c>
      <c r="AC19" s="17">
        <f t="shared" si="6"/>
        <v>0</v>
      </c>
      <c r="AD19" s="17">
        <f t="shared" si="6"/>
        <v>5.5511151231257827E-17</v>
      </c>
      <c r="AE19" s="17">
        <f t="shared" si="6"/>
        <v>5.5511151231257827E-17</v>
      </c>
      <c r="AF19" s="17">
        <f t="shared" si="6"/>
        <v>0</v>
      </c>
      <c r="AG19" s="17">
        <f t="shared" si="6"/>
        <v>0</v>
      </c>
      <c r="AH19" s="17">
        <f t="shared" si="6"/>
        <v>5.5511151231257827E-17</v>
      </c>
      <c r="AI19" s="17">
        <f t="shared" si="6"/>
        <v>5.5511151231257827E-17</v>
      </c>
      <c r="AJ19" s="17">
        <f t="shared" si="6"/>
        <v>0</v>
      </c>
      <c r="AK19" s="17">
        <f t="shared" si="6"/>
        <v>0</v>
      </c>
      <c r="AL19" s="17">
        <f t="shared" si="6"/>
        <v>5.5511151231257827E-17</v>
      </c>
      <c r="AM19" s="17">
        <f t="shared" si="6"/>
        <v>0</v>
      </c>
      <c r="AN19" s="17">
        <f t="shared" si="6"/>
        <v>0</v>
      </c>
      <c r="AO19" s="17">
        <f t="shared" si="6"/>
        <v>5.5511151231257827E-17</v>
      </c>
      <c r="AP19" s="17">
        <f t="shared" si="6"/>
        <v>0</v>
      </c>
      <c r="AQ19" s="17">
        <f t="shared" si="6"/>
        <v>5.5511151231257827E-17</v>
      </c>
      <c r="AR19" s="17">
        <f t="shared" si="6"/>
        <v>5.5511151231257827E-17</v>
      </c>
      <c r="AS19" s="17">
        <f t="shared" si="6"/>
        <v>0</v>
      </c>
      <c r="AT19" s="17">
        <f t="shared" si="6"/>
        <v>0</v>
      </c>
      <c r="AU19" s="17">
        <f t="shared" si="6"/>
        <v>0</v>
      </c>
      <c r="AV19" s="17">
        <f t="shared" si="6"/>
        <v>5.5511151231257827E-17</v>
      </c>
      <c r="AW19" s="17">
        <f t="shared" si="6"/>
        <v>5.5511151231257827E-17</v>
      </c>
      <c r="AX19" s="17">
        <f t="shared" si="6"/>
        <v>5.5511151231257827E-17</v>
      </c>
      <c r="AY19" s="17">
        <f t="shared" si="6"/>
        <v>5.5511151231257827E-17</v>
      </c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Z19" s="18"/>
      <c r="DA19" s="18"/>
      <c r="DB19" s="18"/>
      <c r="DC19" s="18"/>
      <c r="DF19" s="18"/>
      <c r="DG19" s="18"/>
      <c r="DH19" s="18"/>
      <c r="DI19" s="18"/>
    </row>
    <row r="20" spans="1:113">
      <c r="A20" s="4">
        <f t="shared" ref="A20:A21" si="7">A19+1</f>
        <v>2</v>
      </c>
      <c r="C20" s="17">
        <f>ABS(C14-B14)</f>
        <v>2.8854824165915061E-3</v>
      </c>
      <c r="D20" s="17">
        <f t="shared" si="6"/>
        <v>3.6743219216246875E-2</v>
      </c>
      <c r="E20" s="17">
        <f t="shared" si="6"/>
        <v>5.6249341599880209E-3</v>
      </c>
      <c r="F20" s="17">
        <f t="shared" si="6"/>
        <v>2.7755575615628914E-17</v>
      </c>
      <c r="G20" s="17">
        <f t="shared" si="6"/>
        <v>2.7755575615628914E-17</v>
      </c>
      <c r="H20" s="17">
        <f t="shared" si="6"/>
        <v>2.7755575615628914E-17</v>
      </c>
      <c r="I20" s="17">
        <f t="shared" si="6"/>
        <v>2.7755575615628914E-17</v>
      </c>
      <c r="J20" s="17">
        <f t="shared" si="6"/>
        <v>0</v>
      </c>
      <c r="K20" s="17">
        <f t="shared" si="6"/>
        <v>2.7755575615628914E-17</v>
      </c>
      <c r="L20" s="17">
        <f t="shared" si="6"/>
        <v>2.7755575615628914E-17</v>
      </c>
      <c r="M20" s="17">
        <f t="shared" si="6"/>
        <v>5.5511151231257827E-17</v>
      </c>
      <c r="N20" s="17">
        <f t="shared" si="6"/>
        <v>8.3266726846886741E-17</v>
      </c>
      <c r="O20" s="17">
        <f t="shared" si="6"/>
        <v>0</v>
      </c>
      <c r="P20" s="17">
        <f t="shared" si="6"/>
        <v>2.7755575615628914E-17</v>
      </c>
      <c r="Q20" s="17">
        <f t="shared" si="6"/>
        <v>0</v>
      </c>
      <c r="R20" s="17">
        <f t="shared" si="6"/>
        <v>0</v>
      </c>
      <c r="S20" s="17">
        <f t="shared" si="6"/>
        <v>2.7755575615628914E-17</v>
      </c>
      <c r="T20" s="17">
        <f t="shared" si="6"/>
        <v>5.5511151231257827E-17</v>
      </c>
      <c r="U20" s="17">
        <f t="shared" si="6"/>
        <v>5.5511151231257827E-17</v>
      </c>
      <c r="V20" s="17">
        <f t="shared" si="6"/>
        <v>0</v>
      </c>
      <c r="W20" s="17">
        <f t="shared" si="6"/>
        <v>2.7755575615628914E-17</v>
      </c>
      <c r="X20" s="17">
        <f t="shared" si="6"/>
        <v>0</v>
      </c>
      <c r="Y20" s="17">
        <f t="shared" si="6"/>
        <v>2.7755575615628914E-17</v>
      </c>
      <c r="Z20" s="17">
        <f t="shared" si="6"/>
        <v>0</v>
      </c>
      <c r="AA20" s="17">
        <f t="shared" si="6"/>
        <v>2.7755575615628914E-17</v>
      </c>
      <c r="AB20" s="17">
        <f t="shared" si="6"/>
        <v>2.7755575615628914E-17</v>
      </c>
      <c r="AC20" s="17">
        <f t="shared" si="6"/>
        <v>2.7755575615628914E-17</v>
      </c>
      <c r="AD20" s="17">
        <f t="shared" si="6"/>
        <v>5.5511151231257827E-17</v>
      </c>
      <c r="AE20" s="17">
        <f t="shared" si="6"/>
        <v>5.5511151231257827E-17</v>
      </c>
      <c r="AF20" s="17">
        <f t="shared" si="6"/>
        <v>2.7755575615628914E-17</v>
      </c>
      <c r="AG20" s="17">
        <f t="shared" si="6"/>
        <v>2.7755575615628914E-17</v>
      </c>
      <c r="AH20" s="17">
        <f t="shared" si="6"/>
        <v>5.5511151231257827E-17</v>
      </c>
      <c r="AI20" s="17">
        <f t="shared" si="6"/>
        <v>5.5511151231257827E-17</v>
      </c>
      <c r="AJ20" s="17">
        <f t="shared" si="6"/>
        <v>2.7755575615628914E-17</v>
      </c>
      <c r="AK20" s="17">
        <f t="shared" si="6"/>
        <v>5.5511151231257827E-17</v>
      </c>
      <c r="AL20" s="17">
        <f t="shared" si="6"/>
        <v>0</v>
      </c>
      <c r="AM20" s="17">
        <f t="shared" si="6"/>
        <v>8.3266726846886741E-17</v>
      </c>
      <c r="AN20" s="17">
        <f t="shared" si="6"/>
        <v>2.7755575615628914E-17</v>
      </c>
      <c r="AO20" s="17">
        <f t="shared" si="6"/>
        <v>2.7755575615628914E-17</v>
      </c>
      <c r="AP20" s="17">
        <f t="shared" si="6"/>
        <v>5.5511151231257827E-17</v>
      </c>
      <c r="AQ20" s="17">
        <f t="shared" si="6"/>
        <v>2.7755575615628914E-17</v>
      </c>
      <c r="AR20" s="17">
        <f t="shared" si="6"/>
        <v>0</v>
      </c>
      <c r="AS20" s="17">
        <f t="shared" si="6"/>
        <v>2.7755575615628914E-17</v>
      </c>
      <c r="AT20" s="17">
        <f t="shared" si="6"/>
        <v>2.7755575615628914E-17</v>
      </c>
      <c r="AU20" s="17">
        <f t="shared" si="6"/>
        <v>2.7755575615628914E-17</v>
      </c>
      <c r="AV20" s="17">
        <f t="shared" si="6"/>
        <v>5.5511151231257827E-17</v>
      </c>
      <c r="AW20" s="17">
        <f t="shared" si="6"/>
        <v>2.7755575615628914E-17</v>
      </c>
      <c r="AX20" s="17">
        <f t="shared" si="6"/>
        <v>2.7755575615628914E-17</v>
      </c>
      <c r="AY20" s="17">
        <f t="shared" si="6"/>
        <v>0</v>
      </c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Z20" s="18"/>
      <c r="DA20" s="18"/>
      <c r="DB20" s="18"/>
      <c r="DC20" s="18"/>
      <c r="DF20" s="18"/>
      <c r="DG20" s="18"/>
      <c r="DH20" s="18"/>
      <c r="DI20" s="18"/>
    </row>
    <row r="21" spans="1:113">
      <c r="A21" s="4">
        <f t="shared" si="7"/>
        <v>3</v>
      </c>
      <c r="C21" s="17">
        <f>ABS(C15-B15)</f>
        <v>9.8286744815148791E-3</v>
      </c>
      <c r="D21" s="17">
        <f t="shared" si="6"/>
        <v>4.4189514418458142E-3</v>
      </c>
      <c r="E21" s="17">
        <f t="shared" si="6"/>
        <v>2.1253172283654406E-2</v>
      </c>
      <c r="F21" s="17">
        <f t="shared" si="6"/>
        <v>4.163336342344337E-17</v>
      </c>
      <c r="G21" s="17">
        <f t="shared" si="6"/>
        <v>2.7755575615628914E-17</v>
      </c>
      <c r="H21" s="17">
        <f t="shared" si="6"/>
        <v>1.3877787807814457E-17</v>
      </c>
      <c r="I21" s="17">
        <f t="shared" si="6"/>
        <v>1.3877787807814457E-17</v>
      </c>
      <c r="J21" s="17">
        <f t="shared" si="6"/>
        <v>0</v>
      </c>
      <c r="K21" s="17">
        <f t="shared" si="6"/>
        <v>0</v>
      </c>
      <c r="L21" s="17">
        <f t="shared" si="6"/>
        <v>2.7755575615628914E-17</v>
      </c>
      <c r="M21" s="17">
        <f t="shared" si="6"/>
        <v>1.3877787807814457E-17</v>
      </c>
      <c r="N21" s="17">
        <f t="shared" si="6"/>
        <v>1.3877787807814457E-17</v>
      </c>
      <c r="O21" s="17">
        <f t="shared" si="6"/>
        <v>0</v>
      </c>
      <c r="P21" s="17">
        <f t="shared" si="6"/>
        <v>0</v>
      </c>
      <c r="Q21" s="17">
        <f t="shared" si="6"/>
        <v>0</v>
      </c>
      <c r="R21" s="17">
        <f t="shared" si="6"/>
        <v>0</v>
      </c>
      <c r="S21" s="17">
        <f t="shared" si="6"/>
        <v>0</v>
      </c>
      <c r="T21" s="17">
        <f t="shared" si="6"/>
        <v>4.163336342344337E-17</v>
      </c>
      <c r="U21" s="17">
        <f t="shared" si="6"/>
        <v>2.7755575615628914E-17</v>
      </c>
      <c r="V21" s="17">
        <f t="shared" si="6"/>
        <v>0</v>
      </c>
      <c r="W21" s="17">
        <f t="shared" si="6"/>
        <v>0</v>
      </c>
      <c r="X21" s="17">
        <f t="shared" si="6"/>
        <v>0</v>
      </c>
      <c r="Y21" s="17">
        <f t="shared" si="6"/>
        <v>1.3877787807814457E-17</v>
      </c>
      <c r="Z21" s="17">
        <f t="shared" si="6"/>
        <v>1.3877787807814457E-17</v>
      </c>
      <c r="AA21" s="17">
        <f t="shared" si="6"/>
        <v>0</v>
      </c>
      <c r="AB21" s="17">
        <f t="shared" si="6"/>
        <v>1.3877787807814457E-17</v>
      </c>
      <c r="AC21" s="17">
        <f t="shared" si="6"/>
        <v>2.7755575615628914E-17</v>
      </c>
      <c r="AD21" s="17">
        <f t="shared" si="6"/>
        <v>1.3877787807814457E-17</v>
      </c>
      <c r="AE21" s="17">
        <f t="shared" si="6"/>
        <v>2.7755575615628914E-17</v>
      </c>
      <c r="AF21" s="17">
        <f t="shared" si="6"/>
        <v>1.3877787807814457E-17</v>
      </c>
      <c r="AG21" s="17">
        <f t="shared" si="6"/>
        <v>1.3877787807814457E-17</v>
      </c>
      <c r="AH21" s="17">
        <f t="shared" si="6"/>
        <v>0</v>
      </c>
      <c r="AI21" s="17">
        <f t="shared" si="6"/>
        <v>0</v>
      </c>
      <c r="AJ21" s="17">
        <f t="shared" si="6"/>
        <v>1.3877787807814457E-17</v>
      </c>
      <c r="AK21" s="17">
        <f t="shared" si="6"/>
        <v>1.3877787807814457E-17</v>
      </c>
      <c r="AL21" s="17">
        <f t="shared" si="6"/>
        <v>2.7755575615628914E-17</v>
      </c>
      <c r="AM21" s="17">
        <f t="shared" si="6"/>
        <v>1.3877787807814457E-17</v>
      </c>
      <c r="AN21" s="17">
        <f t="shared" si="6"/>
        <v>2.7755575615628914E-17</v>
      </c>
      <c r="AO21" s="17">
        <f t="shared" si="6"/>
        <v>0</v>
      </c>
      <c r="AP21" s="17">
        <f t="shared" si="6"/>
        <v>0</v>
      </c>
      <c r="AQ21" s="17">
        <f t="shared" si="6"/>
        <v>1.3877787807814457E-17</v>
      </c>
      <c r="AR21" s="17">
        <f t="shared" si="6"/>
        <v>2.7755575615628914E-17</v>
      </c>
      <c r="AS21" s="17">
        <f t="shared" si="6"/>
        <v>2.7755575615628914E-17</v>
      </c>
      <c r="AT21" s="17">
        <f t="shared" si="6"/>
        <v>0</v>
      </c>
      <c r="AU21" s="17">
        <f t="shared" si="6"/>
        <v>1.3877787807814457E-17</v>
      </c>
      <c r="AV21" s="17">
        <f t="shared" si="6"/>
        <v>2.7755575615628914E-17</v>
      </c>
      <c r="AW21" s="17">
        <f t="shared" si="6"/>
        <v>1.3877787807814457E-17</v>
      </c>
      <c r="AX21" s="17">
        <f t="shared" si="6"/>
        <v>0</v>
      </c>
      <c r="AY21" s="17">
        <f t="shared" si="6"/>
        <v>2.7755575615628914E-17</v>
      </c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Z21" s="18"/>
      <c r="DA21" s="18"/>
      <c r="DB21" s="18"/>
      <c r="DC21" s="18"/>
      <c r="DF21" s="18"/>
      <c r="DG21" s="18"/>
      <c r="DH21" s="18"/>
      <c r="DI21" s="18"/>
    </row>
    <row r="22" spans="1:113">
      <c r="CZ22" s="18"/>
      <c r="DA22" s="18"/>
      <c r="DB22" s="18"/>
      <c r="DC22" s="18"/>
      <c r="DF22" s="18"/>
      <c r="DG22" s="18"/>
      <c r="DH22" s="18"/>
      <c r="DI22" s="18"/>
    </row>
    <row r="23" spans="1:113" ht="15">
      <c r="A23" s="15" t="s">
        <v>3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Z23" s="18"/>
      <c r="DA23" s="18"/>
      <c r="DB23" s="18"/>
      <c r="DC23" s="18"/>
      <c r="DF23" s="18"/>
      <c r="DG23" s="18"/>
      <c r="DH23" s="18"/>
      <c r="DI23" s="18"/>
    </row>
    <row r="24" spans="1:113">
      <c r="A24" s="4">
        <v>0</v>
      </c>
      <c r="C24" s="12">
        <f>C3/B3-1</f>
        <v>1.0000000000000009E-2</v>
      </c>
      <c r="D24" s="12">
        <f t="shared" ref="C24:AY27" si="8">D3/C3-1</f>
        <v>1.0000000000000009E-2</v>
      </c>
      <c r="E24" s="12">
        <f t="shared" si="8"/>
        <v>1.0000000000000009E-2</v>
      </c>
      <c r="F24" s="12">
        <f t="shared" si="8"/>
        <v>1.0000000000000009E-2</v>
      </c>
      <c r="G24" s="12">
        <f t="shared" si="8"/>
        <v>1.0000000000000009E-2</v>
      </c>
      <c r="H24" s="12">
        <f t="shared" si="8"/>
        <v>1.0000000000000009E-2</v>
      </c>
      <c r="I24" s="12">
        <f t="shared" si="8"/>
        <v>1.0000000000000009E-2</v>
      </c>
      <c r="J24" s="12">
        <f t="shared" si="8"/>
        <v>1.0000000000000009E-2</v>
      </c>
      <c r="K24" s="12">
        <f t="shared" si="8"/>
        <v>1.0000000000000009E-2</v>
      </c>
      <c r="L24" s="12">
        <f t="shared" si="8"/>
        <v>1.0000000000000009E-2</v>
      </c>
      <c r="M24" s="12">
        <f t="shared" si="8"/>
        <v>1.0000000000000009E-2</v>
      </c>
      <c r="N24" s="12">
        <f t="shared" si="8"/>
        <v>1.0000000000000009E-2</v>
      </c>
      <c r="O24" s="12">
        <f t="shared" si="8"/>
        <v>1.0000000000000009E-2</v>
      </c>
      <c r="P24" s="12">
        <f t="shared" si="8"/>
        <v>1.0000000000000009E-2</v>
      </c>
      <c r="Q24" s="12">
        <f t="shared" si="8"/>
        <v>1.0000000000000009E-2</v>
      </c>
      <c r="R24" s="12">
        <f t="shared" si="8"/>
        <v>1.0000000000000009E-2</v>
      </c>
      <c r="S24" s="12">
        <f t="shared" si="8"/>
        <v>1.0000000000000009E-2</v>
      </c>
      <c r="T24" s="12">
        <f t="shared" si="8"/>
        <v>1.0000000000000009E-2</v>
      </c>
      <c r="U24" s="12">
        <f t="shared" si="8"/>
        <v>1.0000000000000009E-2</v>
      </c>
      <c r="V24" s="12">
        <f t="shared" si="8"/>
        <v>1.0000000000000009E-2</v>
      </c>
      <c r="W24" s="12">
        <f t="shared" si="8"/>
        <v>1.0000000000000009E-2</v>
      </c>
      <c r="X24" s="12">
        <f t="shared" si="8"/>
        <v>1.0000000000000009E-2</v>
      </c>
      <c r="Y24" s="12">
        <f t="shared" si="8"/>
        <v>1.0000000000000009E-2</v>
      </c>
      <c r="Z24" s="12">
        <f t="shared" si="8"/>
        <v>1.0000000000000009E-2</v>
      </c>
      <c r="AA24" s="12">
        <f t="shared" si="8"/>
        <v>1.0000000000000009E-2</v>
      </c>
      <c r="AB24" s="12">
        <f t="shared" si="8"/>
        <v>1.0000000000000009E-2</v>
      </c>
      <c r="AC24" s="12">
        <f t="shared" si="8"/>
        <v>1.0000000000000009E-2</v>
      </c>
      <c r="AD24" s="12">
        <f t="shared" si="8"/>
        <v>1.0000000000000009E-2</v>
      </c>
      <c r="AE24" s="12">
        <f t="shared" si="8"/>
        <v>1.0000000000000009E-2</v>
      </c>
      <c r="AF24" s="12">
        <f t="shared" si="8"/>
        <v>1.0000000000000009E-2</v>
      </c>
      <c r="AG24" s="12">
        <f t="shared" si="8"/>
        <v>1.0000000000000009E-2</v>
      </c>
      <c r="AH24" s="12">
        <f t="shared" si="8"/>
        <v>1.0000000000000009E-2</v>
      </c>
      <c r="AI24" s="12">
        <f t="shared" si="8"/>
        <v>1.0000000000000009E-2</v>
      </c>
      <c r="AJ24" s="12">
        <f t="shared" si="8"/>
        <v>1.0000000000000009E-2</v>
      </c>
      <c r="AK24" s="12">
        <f t="shared" si="8"/>
        <v>1.0000000000000009E-2</v>
      </c>
      <c r="AL24" s="12">
        <f t="shared" si="8"/>
        <v>1.0000000000000009E-2</v>
      </c>
      <c r="AM24" s="12">
        <f t="shared" si="8"/>
        <v>1.0000000000000009E-2</v>
      </c>
      <c r="AN24" s="12">
        <f t="shared" si="8"/>
        <v>1.0000000000000009E-2</v>
      </c>
      <c r="AO24" s="12">
        <f t="shared" si="8"/>
        <v>1.0000000000000009E-2</v>
      </c>
      <c r="AP24" s="12">
        <f t="shared" si="8"/>
        <v>1.0000000000000009E-2</v>
      </c>
      <c r="AQ24" s="12">
        <f t="shared" si="8"/>
        <v>1.0000000000000009E-2</v>
      </c>
      <c r="AR24" s="12">
        <f t="shared" si="8"/>
        <v>1.0000000000000009E-2</v>
      </c>
      <c r="AS24" s="12">
        <f t="shared" si="8"/>
        <v>1.0000000000000009E-2</v>
      </c>
      <c r="AT24" s="12">
        <f t="shared" si="8"/>
        <v>1.0000000000000009E-2</v>
      </c>
      <c r="AU24" s="12">
        <f t="shared" si="8"/>
        <v>1.0000000000000009E-2</v>
      </c>
      <c r="AV24" s="12">
        <f t="shared" si="8"/>
        <v>1.0000000000000009E-2</v>
      </c>
      <c r="AW24" s="12">
        <f t="shared" si="8"/>
        <v>1.0000000000000009E-2</v>
      </c>
      <c r="AX24" s="12">
        <f t="shared" si="8"/>
        <v>1.0000000000000009E-2</v>
      </c>
      <c r="AY24" s="12">
        <f t="shared" si="8"/>
        <v>1.0000000000000009E-2</v>
      </c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Z24" s="18"/>
      <c r="DA24" s="18"/>
      <c r="DB24" s="18"/>
      <c r="DC24" s="18"/>
      <c r="DF24" s="18"/>
      <c r="DG24" s="18"/>
      <c r="DH24" s="18"/>
      <c r="DI24" s="18"/>
    </row>
    <row r="25" spans="1:113">
      <c r="A25" s="4">
        <f>A24+1</f>
        <v>1</v>
      </c>
      <c r="C25" s="12">
        <f t="shared" si="8"/>
        <v>0.26666666666666661</v>
      </c>
      <c r="D25" s="12">
        <f t="shared" si="8"/>
        <v>9.9999999999997868E-3</v>
      </c>
      <c r="E25" s="12">
        <f t="shared" si="8"/>
        <v>1.0000000000000009E-2</v>
      </c>
      <c r="F25" s="12">
        <f t="shared" si="8"/>
        <v>1.0000000000000009E-2</v>
      </c>
      <c r="G25" s="12">
        <f t="shared" si="8"/>
        <v>9.9999999999997868E-3</v>
      </c>
      <c r="H25" s="12">
        <f t="shared" si="8"/>
        <v>1.0000000000000009E-2</v>
      </c>
      <c r="I25" s="12">
        <f t="shared" si="8"/>
        <v>1.0000000000000009E-2</v>
      </c>
      <c r="J25" s="12">
        <f t="shared" si="8"/>
        <v>1.0000000000000009E-2</v>
      </c>
      <c r="K25" s="12">
        <f t="shared" si="8"/>
        <v>1.0000000000000009E-2</v>
      </c>
      <c r="L25" s="12">
        <f t="shared" si="8"/>
        <v>9.9999999999997868E-3</v>
      </c>
      <c r="M25" s="12">
        <f t="shared" si="8"/>
        <v>1.0000000000000009E-2</v>
      </c>
      <c r="N25" s="12">
        <f t="shared" si="8"/>
        <v>1.0000000000000231E-2</v>
      </c>
      <c r="O25" s="12">
        <f t="shared" si="8"/>
        <v>1.0000000000000009E-2</v>
      </c>
      <c r="P25" s="12">
        <f t="shared" si="8"/>
        <v>1.0000000000000009E-2</v>
      </c>
      <c r="Q25" s="12">
        <f t="shared" si="8"/>
        <v>1.0000000000000009E-2</v>
      </c>
      <c r="R25" s="12">
        <f t="shared" si="8"/>
        <v>1.0000000000000009E-2</v>
      </c>
      <c r="S25" s="12">
        <f t="shared" si="8"/>
        <v>1.0000000000000009E-2</v>
      </c>
      <c r="T25" s="12">
        <f t="shared" si="8"/>
        <v>1.0000000000000009E-2</v>
      </c>
      <c r="U25" s="12">
        <f t="shared" si="8"/>
        <v>1.0000000000000009E-2</v>
      </c>
      <c r="V25" s="12">
        <f t="shared" si="8"/>
        <v>1.0000000000000009E-2</v>
      </c>
      <c r="W25" s="12">
        <f t="shared" si="8"/>
        <v>1.0000000000000009E-2</v>
      </c>
      <c r="X25" s="12">
        <f t="shared" si="8"/>
        <v>1.0000000000000009E-2</v>
      </c>
      <c r="Y25" s="12">
        <f t="shared" si="8"/>
        <v>1.0000000000000009E-2</v>
      </c>
      <c r="Z25" s="12">
        <f t="shared" si="8"/>
        <v>1.0000000000000231E-2</v>
      </c>
      <c r="AA25" s="12">
        <f t="shared" si="8"/>
        <v>1.0000000000000009E-2</v>
      </c>
      <c r="AB25" s="12">
        <f t="shared" si="8"/>
        <v>1.0000000000000009E-2</v>
      </c>
      <c r="AC25" s="12">
        <f t="shared" si="8"/>
        <v>1.0000000000000009E-2</v>
      </c>
      <c r="AD25" s="12">
        <f t="shared" si="8"/>
        <v>1.0000000000000231E-2</v>
      </c>
      <c r="AE25" s="12">
        <f t="shared" si="8"/>
        <v>1.0000000000000009E-2</v>
      </c>
      <c r="AF25" s="12">
        <f t="shared" si="8"/>
        <v>1.0000000000000009E-2</v>
      </c>
      <c r="AG25" s="12">
        <f t="shared" si="8"/>
        <v>1.0000000000000009E-2</v>
      </c>
      <c r="AH25" s="12">
        <f t="shared" si="8"/>
        <v>1.0000000000000009E-2</v>
      </c>
      <c r="AI25" s="12">
        <f t="shared" si="8"/>
        <v>1.0000000000000009E-2</v>
      </c>
      <c r="AJ25" s="12">
        <f t="shared" si="8"/>
        <v>1.0000000000000009E-2</v>
      </c>
      <c r="AK25" s="12">
        <f t="shared" si="8"/>
        <v>1.0000000000000009E-2</v>
      </c>
      <c r="AL25" s="12">
        <f t="shared" si="8"/>
        <v>9.9999999999997868E-3</v>
      </c>
      <c r="AM25" s="12">
        <f t="shared" si="8"/>
        <v>1.0000000000000009E-2</v>
      </c>
      <c r="AN25" s="12">
        <f t="shared" si="8"/>
        <v>1.0000000000000009E-2</v>
      </c>
      <c r="AO25" s="12">
        <f t="shared" si="8"/>
        <v>1.0000000000000231E-2</v>
      </c>
      <c r="AP25" s="12">
        <f t="shared" si="8"/>
        <v>1.0000000000000009E-2</v>
      </c>
      <c r="AQ25" s="12">
        <f t="shared" si="8"/>
        <v>1.0000000000000231E-2</v>
      </c>
      <c r="AR25" s="12">
        <f t="shared" si="8"/>
        <v>1.0000000000000009E-2</v>
      </c>
      <c r="AS25" s="12">
        <f t="shared" si="8"/>
        <v>1.0000000000000009E-2</v>
      </c>
      <c r="AT25" s="12">
        <f t="shared" si="8"/>
        <v>1.0000000000000009E-2</v>
      </c>
      <c r="AU25" s="12">
        <f t="shared" si="8"/>
        <v>1.0000000000000009E-2</v>
      </c>
      <c r="AV25" s="12">
        <f t="shared" si="8"/>
        <v>1.0000000000000009E-2</v>
      </c>
      <c r="AW25" s="12">
        <f t="shared" si="8"/>
        <v>1.0000000000000009E-2</v>
      </c>
      <c r="AX25" s="12">
        <f t="shared" si="8"/>
        <v>9.9999999999997868E-3</v>
      </c>
      <c r="AY25" s="12">
        <f t="shared" si="8"/>
        <v>9.9999999999997868E-3</v>
      </c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Z25" s="18"/>
      <c r="DA25" s="18"/>
      <c r="DB25" s="18"/>
      <c r="DC25" s="18"/>
      <c r="DF25" s="18"/>
      <c r="DG25" s="18"/>
      <c r="DH25" s="18"/>
      <c r="DI25" s="18"/>
    </row>
    <row r="26" spans="1:113">
      <c r="A26" s="4">
        <f t="shared" ref="A26:A27" si="9">A25+1</f>
        <v>2</v>
      </c>
      <c r="C26" s="12">
        <f t="shared" si="8"/>
        <v>0.125</v>
      </c>
      <c r="D26" s="12">
        <f t="shared" si="8"/>
        <v>0.26666666666666661</v>
      </c>
      <c r="E26" s="12">
        <f t="shared" si="8"/>
        <v>9.9999999999997868E-3</v>
      </c>
      <c r="F26" s="12">
        <f t="shared" si="8"/>
        <v>1.0000000000000009E-2</v>
      </c>
      <c r="G26" s="12">
        <f t="shared" si="8"/>
        <v>1.0000000000000009E-2</v>
      </c>
      <c r="H26" s="12">
        <f t="shared" si="8"/>
        <v>1.0000000000000009E-2</v>
      </c>
      <c r="I26" s="12">
        <f t="shared" si="8"/>
        <v>1.0000000000000009E-2</v>
      </c>
      <c r="J26" s="12">
        <f t="shared" si="8"/>
        <v>1.0000000000000009E-2</v>
      </c>
      <c r="K26" s="12">
        <f t="shared" si="8"/>
        <v>1.0000000000000009E-2</v>
      </c>
      <c r="L26" s="12">
        <f t="shared" si="8"/>
        <v>1.0000000000000231E-2</v>
      </c>
      <c r="M26" s="12">
        <f t="shared" si="8"/>
        <v>9.9999999999997868E-3</v>
      </c>
      <c r="N26" s="12">
        <f t="shared" si="8"/>
        <v>1.0000000000000231E-2</v>
      </c>
      <c r="O26" s="12">
        <f t="shared" si="8"/>
        <v>1.0000000000000009E-2</v>
      </c>
      <c r="P26" s="12">
        <f t="shared" si="8"/>
        <v>1.0000000000000009E-2</v>
      </c>
      <c r="Q26" s="12">
        <f t="shared" si="8"/>
        <v>1.0000000000000009E-2</v>
      </c>
      <c r="R26" s="12">
        <f t="shared" si="8"/>
        <v>1.0000000000000009E-2</v>
      </c>
      <c r="S26" s="12">
        <f t="shared" si="8"/>
        <v>9.9999999999997868E-3</v>
      </c>
      <c r="T26" s="12">
        <f t="shared" si="8"/>
        <v>1.0000000000000009E-2</v>
      </c>
      <c r="U26" s="12">
        <f t="shared" si="8"/>
        <v>1.0000000000000009E-2</v>
      </c>
      <c r="V26" s="12">
        <f t="shared" si="8"/>
        <v>1.0000000000000009E-2</v>
      </c>
      <c r="W26" s="12">
        <f t="shared" si="8"/>
        <v>1.0000000000000009E-2</v>
      </c>
      <c r="X26" s="12">
        <f t="shared" si="8"/>
        <v>1.0000000000000231E-2</v>
      </c>
      <c r="Y26" s="12">
        <f t="shared" si="8"/>
        <v>9.9999999999997868E-3</v>
      </c>
      <c r="Z26" s="12">
        <f t="shared" si="8"/>
        <v>1.0000000000000009E-2</v>
      </c>
      <c r="AA26" s="12">
        <f t="shared" si="8"/>
        <v>1.0000000000000231E-2</v>
      </c>
      <c r="AB26" s="12">
        <f t="shared" si="8"/>
        <v>9.9999999999997868E-3</v>
      </c>
      <c r="AC26" s="12">
        <f t="shared" si="8"/>
        <v>1.0000000000000009E-2</v>
      </c>
      <c r="AD26" s="12">
        <f t="shared" si="8"/>
        <v>1.0000000000000231E-2</v>
      </c>
      <c r="AE26" s="12">
        <f t="shared" si="8"/>
        <v>1.0000000000000231E-2</v>
      </c>
      <c r="AF26" s="12">
        <f t="shared" si="8"/>
        <v>1.0000000000000009E-2</v>
      </c>
      <c r="AG26" s="12">
        <f t="shared" si="8"/>
        <v>1.0000000000000231E-2</v>
      </c>
      <c r="AH26" s="12">
        <f t="shared" si="8"/>
        <v>1.0000000000000009E-2</v>
      </c>
      <c r="AI26" s="12">
        <f t="shared" si="8"/>
        <v>1.0000000000000009E-2</v>
      </c>
      <c r="AJ26" s="12">
        <f t="shared" si="8"/>
        <v>9.9999999999997868E-3</v>
      </c>
      <c r="AK26" s="12">
        <f t="shared" si="8"/>
        <v>1.0000000000000231E-2</v>
      </c>
      <c r="AL26" s="12">
        <f t="shared" si="8"/>
        <v>1.0000000000000009E-2</v>
      </c>
      <c r="AM26" s="12">
        <f t="shared" si="8"/>
        <v>9.9999999999997868E-3</v>
      </c>
      <c r="AN26" s="12">
        <f t="shared" si="8"/>
        <v>1.0000000000000009E-2</v>
      </c>
      <c r="AO26" s="12">
        <f t="shared" si="8"/>
        <v>9.9999999999997868E-3</v>
      </c>
      <c r="AP26" s="12">
        <f t="shared" si="8"/>
        <v>1.0000000000000231E-2</v>
      </c>
      <c r="AQ26" s="12">
        <f t="shared" si="8"/>
        <v>1.0000000000000009E-2</v>
      </c>
      <c r="AR26" s="12">
        <f t="shared" si="8"/>
        <v>1.0000000000000231E-2</v>
      </c>
      <c r="AS26" s="12">
        <f t="shared" si="8"/>
        <v>1.0000000000000009E-2</v>
      </c>
      <c r="AT26" s="12">
        <f t="shared" si="8"/>
        <v>1.0000000000000009E-2</v>
      </c>
      <c r="AU26" s="12">
        <f t="shared" si="8"/>
        <v>1.0000000000000009E-2</v>
      </c>
      <c r="AV26" s="12">
        <f t="shared" si="8"/>
        <v>1.0000000000000009E-2</v>
      </c>
      <c r="AW26" s="12">
        <f t="shared" si="8"/>
        <v>1.0000000000000009E-2</v>
      </c>
      <c r="AX26" s="12">
        <f t="shared" si="8"/>
        <v>1.0000000000000009E-2</v>
      </c>
      <c r="AY26" s="12">
        <f t="shared" si="8"/>
        <v>9.9999999999997868E-3</v>
      </c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Z26" s="18"/>
      <c r="DA26" s="18"/>
      <c r="DB26" s="18"/>
      <c r="DC26" s="18"/>
      <c r="DF26" s="18"/>
      <c r="DG26" s="18"/>
      <c r="DH26" s="18"/>
      <c r="DI26" s="18"/>
    </row>
    <row r="27" spans="1:113">
      <c r="A27" s="4">
        <f t="shared" si="9"/>
        <v>3</v>
      </c>
      <c r="C27" s="12">
        <f t="shared" si="8"/>
        <v>0</v>
      </c>
      <c r="D27" s="12">
        <f t="shared" si="8"/>
        <v>0.125</v>
      </c>
      <c r="E27" s="12">
        <f t="shared" si="8"/>
        <v>0.26666666666666661</v>
      </c>
      <c r="F27" s="12">
        <f t="shared" si="8"/>
        <v>9.9999999999997868E-3</v>
      </c>
      <c r="G27" s="12">
        <f t="shared" si="8"/>
        <v>1.0000000000000009E-2</v>
      </c>
      <c r="H27" s="12">
        <f t="shared" si="8"/>
        <v>1.0000000000000009E-2</v>
      </c>
      <c r="I27" s="12">
        <f t="shared" si="8"/>
        <v>1.0000000000000009E-2</v>
      </c>
      <c r="J27" s="12">
        <f t="shared" si="8"/>
        <v>1.0000000000000009E-2</v>
      </c>
      <c r="K27" s="12">
        <f t="shared" si="8"/>
        <v>1.0000000000000009E-2</v>
      </c>
      <c r="L27" s="12">
        <f t="shared" si="8"/>
        <v>1.0000000000000009E-2</v>
      </c>
      <c r="M27" s="12">
        <f t="shared" si="8"/>
        <v>1.0000000000000231E-2</v>
      </c>
      <c r="N27" s="12">
        <f t="shared" si="8"/>
        <v>9.9999999999997868E-3</v>
      </c>
      <c r="O27" s="12">
        <f t="shared" si="8"/>
        <v>1.0000000000000231E-2</v>
      </c>
      <c r="P27" s="12">
        <f t="shared" si="8"/>
        <v>1.0000000000000009E-2</v>
      </c>
      <c r="Q27" s="12">
        <f t="shared" si="8"/>
        <v>1.0000000000000009E-2</v>
      </c>
      <c r="R27" s="12">
        <f t="shared" si="8"/>
        <v>1.0000000000000009E-2</v>
      </c>
      <c r="S27" s="12">
        <f t="shared" si="8"/>
        <v>1.0000000000000009E-2</v>
      </c>
      <c r="T27" s="12">
        <f t="shared" si="8"/>
        <v>9.9999999999997868E-3</v>
      </c>
      <c r="U27" s="12">
        <f t="shared" si="8"/>
        <v>1.0000000000000009E-2</v>
      </c>
      <c r="V27" s="12">
        <f t="shared" si="8"/>
        <v>1.0000000000000009E-2</v>
      </c>
      <c r="W27" s="12">
        <f t="shared" si="8"/>
        <v>1.0000000000000009E-2</v>
      </c>
      <c r="X27" s="12">
        <f t="shared" si="8"/>
        <v>1.0000000000000009E-2</v>
      </c>
      <c r="Y27" s="12">
        <f t="shared" si="8"/>
        <v>1.0000000000000231E-2</v>
      </c>
      <c r="Z27" s="12">
        <f t="shared" si="8"/>
        <v>9.9999999999997868E-3</v>
      </c>
      <c r="AA27" s="12">
        <f t="shared" si="8"/>
        <v>1.0000000000000009E-2</v>
      </c>
      <c r="AB27" s="12">
        <f t="shared" si="8"/>
        <v>1.0000000000000231E-2</v>
      </c>
      <c r="AC27" s="12">
        <f t="shared" si="8"/>
        <v>9.9999999999997868E-3</v>
      </c>
      <c r="AD27" s="12">
        <f t="shared" si="8"/>
        <v>1.0000000000000009E-2</v>
      </c>
      <c r="AE27" s="12">
        <f t="shared" si="8"/>
        <v>1.0000000000000231E-2</v>
      </c>
      <c r="AF27" s="12">
        <f t="shared" si="8"/>
        <v>1.0000000000000231E-2</v>
      </c>
      <c r="AG27" s="12">
        <f t="shared" si="8"/>
        <v>1.0000000000000009E-2</v>
      </c>
      <c r="AH27" s="12">
        <f t="shared" si="8"/>
        <v>1.0000000000000231E-2</v>
      </c>
      <c r="AI27" s="12">
        <f t="shared" si="8"/>
        <v>1.0000000000000009E-2</v>
      </c>
      <c r="AJ27" s="12">
        <f t="shared" si="8"/>
        <v>1.0000000000000009E-2</v>
      </c>
      <c r="AK27" s="12">
        <f t="shared" si="8"/>
        <v>9.9999999999997868E-3</v>
      </c>
      <c r="AL27" s="12">
        <f t="shared" si="8"/>
        <v>1.0000000000000231E-2</v>
      </c>
      <c r="AM27" s="12">
        <f t="shared" si="8"/>
        <v>1.0000000000000009E-2</v>
      </c>
      <c r="AN27" s="12">
        <f t="shared" si="8"/>
        <v>9.9999999999997868E-3</v>
      </c>
      <c r="AO27" s="12">
        <f t="shared" si="8"/>
        <v>1.0000000000000009E-2</v>
      </c>
      <c r="AP27" s="12">
        <f t="shared" si="8"/>
        <v>9.9999999999997868E-3</v>
      </c>
      <c r="AQ27" s="12">
        <f t="shared" si="8"/>
        <v>1.0000000000000231E-2</v>
      </c>
      <c r="AR27" s="12">
        <f t="shared" si="8"/>
        <v>1.0000000000000009E-2</v>
      </c>
      <c r="AS27" s="12">
        <f t="shared" si="8"/>
        <v>1.0000000000000231E-2</v>
      </c>
      <c r="AT27" s="12">
        <f t="shared" si="8"/>
        <v>1.0000000000000009E-2</v>
      </c>
      <c r="AU27" s="12">
        <f t="shared" si="8"/>
        <v>1.0000000000000009E-2</v>
      </c>
      <c r="AV27" s="12">
        <f t="shared" si="8"/>
        <v>1.0000000000000009E-2</v>
      </c>
      <c r="AW27" s="12">
        <f t="shared" si="8"/>
        <v>1.0000000000000009E-2</v>
      </c>
      <c r="AX27" s="12">
        <f t="shared" si="8"/>
        <v>1.0000000000000009E-2</v>
      </c>
      <c r="AY27" s="12">
        <f t="shared" si="8"/>
        <v>1.0000000000000009E-2</v>
      </c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Z27" s="18"/>
      <c r="DA27" s="18"/>
      <c r="DB27" s="18"/>
      <c r="DC27" s="18"/>
      <c r="DF27" s="18"/>
      <c r="DG27" s="18"/>
      <c r="DH27" s="18"/>
      <c r="DI27" s="18"/>
    </row>
    <row r="28" spans="1:113">
      <c r="CZ28" s="18"/>
      <c r="DA28" s="18"/>
      <c r="DB28" s="18"/>
      <c r="DC28" s="18"/>
      <c r="DF28" s="18"/>
      <c r="DG28" s="18"/>
      <c r="DH28" s="18"/>
      <c r="DI28" s="18"/>
    </row>
    <row r="29" spans="1:113">
      <c r="CZ29" s="18"/>
      <c r="DA29" s="18"/>
      <c r="DB29" s="18"/>
      <c r="DC29" s="18"/>
      <c r="DF29" s="18"/>
      <c r="DG29" s="18"/>
      <c r="DH29" s="18"/>
      <c r="DI29" s="18"/>
    </row>
    <row r="30" spans="1:113">
      <c r="CZ30" s="18"/>
      <c r="DA30" s="18"/>
      <c r="DB30" s="18"/>
      <c r="DC30" s="18"/>
      <c r="DF30" s="18"/>
      <c r="DG30" s="18"/>
      <c r="DH30" s="18"/>
      <c r="DI30" s="18"/>
    </row>
    <row r="31" spans="1:113">
      <c r="CZ31" s="18"/>
      <c r="DA31" s="18"/>
      <c r="DB31" s="18"/>
      <c r="DC31" s="18"/>
      <c r="DF31" s="18"/>
      <c r="DG31" s="18"/>
      <c r="DH31" s="18"/>
      <c r="DI31" s="18"/>
    </row>
    <row r="32" spans="1:113">
      <c r="CZ32" s="18"/>
      <c r="DA32" s="18"/>
      <c r="DB32" s="18"/>
      <c r="DC32" s="18"/>
      <c r="DF32" s="18"/>
      <c r="DG32" s="18"/>
      <c r="DH32" s="18"/>
      <c r="DI32" s="18"/>
    </row>
    <row r="33" spans="104:113">
      <c r="CZ33" s="18"/>
      <c r="DA33" s="18"/>
      <c r="DB33" s="18"/>
      <c r="DC33" s="18"/>
      <c r="DF33" s="18"/>
      <c r="DG33" s="18"/>
      <c r="DH33" s="18"/>
      <c r="DI33" s="18"/>
    </row>
    <row r="34" spans="104:113">
      <c r="CZ34" s="18"/>
      <c r="DA34" s="18"/>
      <c r="DB34" s="18"/>
      <c r="DC34" s="18"/>
      <c r="DF34" s="18"/>
      <c r="DG34" s="18"/>
      <c r="DH34" s="18"/>
      <c r="DI34" s="18"/>
    </row>
    <row r="35" spans="104:113">
      <c r="CZ35" s="18"/>
      <c r="DA35" s="18"/>
      <c r="DB35" s="18"/>
      <c r="DC35" s="18"/>
      <c r="DF35" s="18"/>
      <c r="DG35" s="18"/>
      <c r="DH35" s="18"/>
      <c r="DI35" s="18"/>
    </row>
    <row r="36" spans="104:113">
      <c r="CZ36" s="18"/>
      <c r="DA36" s="18"/>
      <c r="DB36" s="18"/>
      <c r="DC36" s="18"/>
      <c r="DF36" s="18"/>
      <c r="DG36" s="18"/>
      <c r="DH36" s="18"/>
      <c r="DI36" s="18"/>
    </row>
    <row r="37" spans="104:113">
      <c r="CZ37" s="18"/>
      <c r="DA37" s="18"/>
      <c r="DB37" s="18"/>
      <c r="DC37" s="18"/>
      <c r="DF37" s="18"/>
      <c r="DG37" s="18"/>
      <c r="DH37" s="18"/>
      <c r="DI37" s="18"/>
    </row>
    <row r="38" spans="104:113">
      <c r="CZ38" s="18"/>
      <c r="DA38" s="18"/>
      <c r="DB38" s="18"/>
      <c r="DC38" s="18"/>
      <c r="DF38" s="18"/>
      <c r="DG38" s="18"/>
      <c r="DH38" s="18"/>
      <c r="DI38" s="18"/>
    </row>
    <row r="39" spans="104:113">
      <c r="CZ39" s="18"/>
      <c r="DA39" s="18"/>
      <c r="DB39" s="18"/>
      <c r="DC39" s="18"/>
      <c r="DF39" s="18"/>
      <c r="DG39" s="18"/>
      <c r="DH39" s="18"/>
      <c r="DI39" s="18"/>
    </row>
    <row r="40" spans="104:113">
      <c r="CZ40" s="18"/>
      <c r="DA40" s="18"/>
      <c r="DB40" s="18"/>
      <c r="DC40" s="18"/>
      <c r="DF40" s="18"/>
      <c r="DG40" s="18"/>
      <c r="DH40" s="18"/>
      <c r="DI40" s="18"/>
    </row>
    <row r="41" spans="104:113">
      <c r="CZ41" s="18"/>
      <c r="DA41" s="18"/>
      <c r="DB41" s="18"/>
      <c r="DC41" s="18"/>
      <c r="DF41" s="18"/>
      <c r="DG41" s="18"/>
      <c r="DH41" s="18"/>
      <c r="DI41" s="18"/>
    </row>
    <row r="42" spans="104:113">
      <c r="CZ42" s="18"/>
      <c r="DA42" s="18"/>
      <c r="DB42" s="18"/>
      <c r="DC42" s="18"/>
      <c r="DF42" s="18"/>
      <c r="DG42" s="18"/>
      <c r="DH42" s="18"/>
      <c r="DI42" s="18"/>
    </row>
    <row r="43" spans="104:113">
      <c r="CZ43" s="18"/>
      <c r="DA43" s="18"/>
      <c r="DB43" s="18"/>
      <c r="DC43" s="18"/>
      <c r="DF43" s="18"/>
      <c r="DG43" s="18"/>
      <c r="DH43" s="18"/>
      <c r="DI43" s="18"/>
    </row>
    <row r="44" spans="104:113">
      <c r="CZ44" s="18"/>
      <c r="DA44" s="18"/>
      <c r="DB44" s="18"/>
      <c r="DC44" s="18"/>
      <c r="DF44" s="18"/>
      <c r="DG44" s="18"/>
      <c r="DH44" s="18"/>
      <c r="DI44" s="18"/>
    </row>
    <row r="45" spans="104:113">
      <c r="CZ45" s="18"/>
      <c r="DA45" s="18"/>
      <c r="DB45" s="18"/>
      <c r="DC45" s="18"/>
      <c r="DF45" s="18"/>
      <c r="DG45" s="18"/>
      <c r="DH45" s="18"/>
      <c r="DI45" s="18"/>
    </row>
    <row r="46" spans="104:113">
      <c r="CZ46" s="18"/>
      <c r="DA46" s="18"/>
      <c r="DB46" s="18"/>
      <c r="DC46" s="18"/>
      <c r="DF46" s="18"/>
      <c r="DG46" s="18"/>
      <c r="DH46" s="18"/>
      <c r="DI46" s="18"/>
    </row>
    <row r="47" spans="104:113">
      <c r="CZ47" s="18"/>
      <c r="DA47" s="18"/>
      <c r="DB47" s="18"/>
      <c r="DC47" s="18"/>
      <c r="DF47" s="18"/>
      <c r="DG47" s="18"/>
      <c r="DH47" s="18"/>
      <c r="DI47" s="18"/>
    </row>
    <row r="48" spans="104:113">
      <c r="CZ48" s="18"/>
      <c r="DA48" s="18"/>
      <c r="DB48" s="18"/>
      <c r="DC48" s="18"/>
      <c r="DF48" s="18"/>
      <c r="DG48" s="18"/>
      <c r="DH48" s="18"/>
      <c r="DI48" s="18"/>
    </row>
    <row r="49" spans="104:113">
      <c r="CZ49" s="18"/>
      <c r="DA49" s="18"/>
      <c r="DB49" s="18"/>
      <c r="DC49" s="18"/>
      <c r="DF49" s="18"/>
      <c r="DG49" s="18"/>
      <c r="DH49" s="18"/>
      <c r="DI49" s="18"/>
    </row>
    <row r="50" spans="104:113">
      <c r="CZ50" s="18"/>
      <c r="DA50" s="18"/>
      <c r="DB50" s="18"/>
      <c r="DC50" s="18"/>
      <c r="DF50" s="18"/>
      <c r="DG50" s="18"/>
      <c r="DH50" s="18"/>
      <c r="DI50" s="18"/>
    </row>
    <row r="51" spans="104:113">
      <c r="CZ51" s="18"/>
      <c r="DA51" s="18"/>
      <c r="DB51" s="18"/>
      <c r="DC51" s="18"/>
      <c r="DF51" s="18"/>
      <c r="DG51" s="18"/>
      <c r="DH51" s="18"/>
      <c r="DI51" s="18"/>
    </row>
    <row r="52" spans="104:113">
      <c r="CZ52" s="18"/>
      <c r="DA52" s="18"/>
      <c r="DB52" s="18"/>
      <c r="DC52" s="18"/>
      <c r="DF52" s="18"/>
      <c r="DG52" s="18"/>
      <c r="DH52" s="18"/>
      <c r="DI52" s="18"/>
    </row>
    <row r="53" spans="104:113">
      <c r="CZ53" s="18"/>
      <c r="DA53" s="18"/>
      <c r="DB53" s="18"/>
      <c r="DC53" s="18"/>
      <c r="DF53" s="18"/>
      <c r="DG53" s="18"/>
      <c r="DH53" s="18"/>
      <c r="DI53" s="18"/>
    </row>
    <row r="54" spans="104:113">
      <c r="CZ54" s="18"/>
      <c r="DA54" s="18"/>
      <c r="DB54" s="18"/>
      <c r="DC54" s="18"/>
      <c r="DF54" s="18"/>
      <c r="DG54" s="18"/>
      <c r="DH54" s="18"/>
      <c r="DI54" s="18"/>
    </row>
    <row r="55" spans="104:113">
      <c r="CZ55" s="18"/>
      <c r="DA55" s="18"/>
      <c r="DB55" s="18"/>
      <c r="DC55" s="18"/>
      <c r="DF55" s="18"/>
      <c r="DG55" s="18"/>
      <c r="DH55" s="18"/>
      <c r="DI55" s="18"/>
    </row>
    <row r="56" spans="104:113">
      <c r="CZ56" s="18"/>
      <c r="DA56" s="18"/>
      <c r="DB56" s="18"/>
      <c r="DC56" s="18"/>
      <c r="DF56" s="18"/>
      <c r="DG56" s="18"/>
      <c r="DH56" s="18"/>
      <c r="DI56" s="18"/>
    </row>
    <row r="57" spans="104:113">
      <c r="CZ57" s="18"/>
      <c r="DA57" s="18"/>
      <c r="DB57" s="18"/>
      <c r="DC57" s="18"/>
      <c r="DF57" s="18"/>
      <c r="DG57" s="18"/>
      <c r="DH57" s="18"/>
      <c r="DI57" s="18"/>
    </row>
    <row r="58" spans="104:113">
      <c r="CZ58" s="18"/>
      <c r="DA58" s="18"/>
      <c r="DB58" s="18"/>
      <c r="DC58" s="18"/>
      <c r="DF58" s="18"/>
      <c r="DG58" s="18"/>
      <c r="DH58" s="18"/>
      <c r="DI58" s="18"/>
    </row>
    <row r="59" spans="104:113">
      <c r="CZ59" s="18"/>
      <c r="DA59" s="18"/>
      <c r="DB59" s="18"/>
      <c r="DC59" s="18"/>
      <c r="DF59" s="18"/>
      <c r="DG59" s="18"/>
      <c r="DH59" s="18"/>
      <c r="DI59" s="18"/>
    </row>
    <row r="60" spans="104:113">
      <c r="CZ60" s="18"/>
      <c r="DA60" s="18"/>
      <c r="DB60" s="18"/>
      <c r="DC60" s="18"/>
      <c r="DF60" s="18"/>
      <c r="DG60" s="18"/>
      <c r="DH60" s="18"/>
      <c r="DI60" s="18"/>
    </row>
    <row r="61" spans="104:113">
      <c r="CZ61" s="18"/>
      <c r="DA61" s="18"/>
      <c r="DB61" s="18"/>
      <c r="DC61" s="18"/>
      <c r="DF61" s="18"/>
      <c r="DG61" s="18"/>
      <c r="DH61" s="18"/>
      <c r="DI61" s="18"/>
    </row>
    <row r="62" spans="104:113">
      <c r="CZ62" s="18"/>
      <c r="DA62" s="18"/>
      <c r="DB62" s="18"/>
      <c r="DC62" s="18"/>
      <c r="DF62" s="18"/>
      <c r="DG62" s="18"/>
      <c r="DH62" s="18"/>
      <c r="DI62" s="18"/>
    </row>
    <row r="63" spans="104:113">
      <c r="CZ63" s="18"/>
      <c r="DA63" s="18"/>
      <c r="DB63" s="18"/>
      <c r="DC63" s="18"/>
      <c r="DF63" s="18"/>
      <c r="DG63" s="18"/>
      <c r="DH63" s="18"/>
      <c r="DI63" s="18"/>
    </row>
    <row r="64" spans="104:113">
      <c r="CZ64" s="18"/>
      <c r="DA64" s="18"/>
      <c r="DB64" s="18"/>
      <c r="DC64" s="18"/>
      <c r="DF64" s="18"/>
      <c r="DG64" s="18"/>
      <c r="DH64" s="18"/>
      <c r="DI64" s="18"/>
    </row>
    <row r="65" spans="104:113">
      <c r="CZ65" s="18"/>
      <c r="DA65" s="18"/>
      <c r="DB65" s="18"/>
      <c r="DC65" s="18"/>
      <c r="DF65" s="18"/>
      <c r="DG65" s="18"/>
      <c r="DH65" s="18"/>
      <c r="DI65" s="18"/>
    </row>
    <row r="66" spans="104:113">
      <c r="CZ66" s="18"/>
      <c r="DA66" s="18"/>
      <c r="DB66" s="18"/>
      <c r="DC66" s="18"/>
      <c r="DF66" s="18"/>
      <c r="DG66" s="18"/>
      <c r="DH66" s="18"/>
      <c r="DI66" s="18"/>
    </row>
    <row r="67" spans="104:113">
      <c r="CZ67" s="18"/>
      <c r="DA67" s="18"/>
      <c r="DB67" s="18"/>
      <c r="DC67" s="18"/>
      <c r="DF67" s="18"/>
      <c r="DG67" s="18"/>
      <c r="DH67" s="18"/>
      <c r="DI67" s="18"/>
    </row>
    <row r="68" spans="104:113">
      <c r="CZ68" s="18"/>
      <c r="DA68" s="18"/>
      <c r="DB68" s="18"/>
      <c r="DC68" s="18"/>
      <c r="DF68" s="18"/>
      <c r="DG68" s="18"/>
      <c r="DH68" s="18"/>
      <c r="DI68" s="18"/>
    </row>
    <row r="69" spans="104:113">
      <c r="CZ69" s="18"/>
      <c r="DA69" s="18"/>
      <c r="DB69" s="18"/>
      <c r="DC69" s="18"/>
      <c r="DF69" s="18"/>
      <c r="DG69" s="18"/>
      <c r="DH69" s="18"/>
      <c r="DI69" s="18"/>
    </row>
    <row r="70" spans="104:113">
      <c r="CZ70" s="18"/>
      <c r="DA70" s="18"/>
      <c r="DB70" s="18"/>
      <c r="DC70" s="18"/>
      <c r="DF70" s="18"/>
      <c r="DG70" s="18"/>
      <c r="DH70" s="18"/>
      <c r="DI70" s="18"/>
    </row>
    <row r="71" spans="104:113">
      <c r="CZ71" s="18"/>
      <c r="DA71" s="18"/>
      <c r="DB71" s="18"/>
      <c r="DC71" s="18"/>
      <c r="DF71" s="18"/>
      <c r="DG71" s="18"/>
      <c r="DH71" s="18"/>
      <c r="DI71" s="18"/>
    </row>
    <row r="72" spans="104:113">
      <c r="CZ72" s="18"/>
      <c r="DA72" s="18"/>
      <c r="DB72" s="18"/>
      <c r="DC72" s="18"/>
      <c r="DF72" s="18"/>
      <c r="DG72" s="18"/>
      <c r="DH72" s="18"/>
      <c r="DI72" s="18"/>
    </row>
    <row r="73" spans="104:113">
      <c r="CZ73" s="18"/>
      <c r="DA73" s="18"/>
      <c r="DB73" s="18"/>
      <c r="DC73" s="18"/>
      <c r="DF73" s="18"/>
      <c r="DG73" s="18"/>
      <c r="DH73" s="18"/>
      <c r="DI73" s="18"/>
    </row>
    <row r="74" spans="104:113">
      <c r="CZ74" s="18"/>
      <c r="DA74" s="18"/>
      <c r="DB74" s="18"/>
      <c r="DC74" s="18"/>
      <c r="DF74" s="18"/>
      <c r="DG74" s="18"/>
      <c r="DH74" s="18"/>
      <c r="DI74" s="18"/>
    </row>
    <row r="75" spans="104:113">
      <c r="CZ75" s="18"/>
      <c r="DA75" s="18"/>
      <c r="DB75" s="18"/>
      <c r="DC75" s="18"/>
      <c r="DF75" s="18"/>
      <c r="DG75" s="18"/>
      <c r="DH75" s="18"/>
      <c r="DI75" s="18"/>
    </row>
    <row r="76" spans="104:113">
      <c r="CZ76" s="18"/>
      <c r="DA76" s="18"/>
      <c r="DB76" s="18"/>
      <c r="DC76" s="18"/>
      <c r="DF76" s="18"/>
      <c r="DG76" s="18"/>
      <c r="DH76" s="18"/>
      <c r="DI76" s="18"/>
    </row>
    <row r="77" spans="104:113">
      <c r="CZ77" s="18"/>
      <c r="DA77" s="18"/>
      <c r="DB77" s="18"/>
      <c r="DC77" s="18"/>
      <c r="DF77" s="18"/>
      <c r="DG77" s="18"/>
      <c r="DH77" s="18"/>
      <c r="DI77" s="18"/>
    </row>
    <row r="78" spans="104:113">
      <c r="CZ78" s="18"/>
      <c r="DA78" s="18"/>
      <c r="DB78" s="18"/>
      <c r="DC78" s="18"/>
      <c r="DF78" s="18"/>
      <c r="DG78" s="18"/>
      <c r="DH78" s="18"/>
      <c r="DI78" s="18"/>
    </row>
    <row r="79" spans="104:113">
      <c r="CZ79" s="18"/>
      <c r="DA79" s="18"/>
      <c r="DB79" s="18"/>
      <c r="DC79" s="18"/>
      <c r="DF79" s="18"/>
      <c r="DG79" s="18"/>
      <c r="DH79" s="18"/>
      <c r="DI79" s="18"/>
    </row>
    <row r="80" spans="104:113">
      <c r="CZ80" s="18"/>
      <c r="DA80" s="18"/>
      <c r="DB80" s="18"/>
      <c r="DC80" s="18"/>
      <c r="DF80" s="18"/>
      <c r="DG80" s="18"/>
      <c r="DH80" s="18"/>
      <c r="DI80" s="18"/>
    </row>
    <row r="81" spans="104:113">
      <c r="CZ81" s="18"/>
      <c r="DA81" s="18"/>
      <c r="DB81" s="18"/>
      <c r="DC81" s="18"/>
      <c r="DF81" s="18"/>
      <c r="DG81" s="18"/>
      <c r="DH81" s="18"/>
      <c r="DI81" s="18"/>
    </row>
    <row r="82" spans="104:113">
      <c r="CZ82" s="18"/>
      <c r="DA82" s="18"/>
      <c r="DB82" s="18"/>
      <c r="DC82" s="18"/>
      <c r="DF82" s="18"/>
      <c r="DG82" s="18"/>
      <c r="DH82" s="18"/>
      <c r="DI82" s="18"/>
    </row>
    <row r="83" spans="104:113">
      <c r="CZ83" s="18"/>
      <c r="DA83" s="18"/>
      <c r="DB83" s="18"/>
      <c r="DC83" s="18"/>
      <c r="DF83" s="18"/>
      <c r="DG83" s="18"/>
      <c r="DH83" s="18"/>
      <c r="DI83" s="18"/>
    </row>
    <row r="84" spans="104:113">
      <c r="CZ84" s="18"/>
      <c r="DA84" s="18"/>
      <c r="DB84" s="18"/>
      <c r="DC84" s="18"/>
      <c r="DF84" s="18"/>
      <c r="DG84" s="18"/>
      <c r="DH84" s="18"/>
      <c r="DI84" s="18"/>
    </row>
    <row r="85" spans="104:113">
      <c r="CZ85" s="18"/>
      <c r="DA85" s="18"/>
      <c r="DB85" s="18"/>
      <c r="DC85" s="18"/>
      <c r="DF85" s="18"/>
      <c r="DG85" s="18"/>
      <c r="DH85" s="18"/>
      <c r="DI85" s="18"/>
    </row>
    <row r="86" spans="104:113">
      <c r="CZ86" s="18"/>
      <c r="DA86" s="18"/>
      <c r="DB86" s="18"/>
      <c r="DC86" s="18"/>
      <c r="DF86" s="18"/>
      <c r="DG86" s="18"/>
      <c r="DH86" s="18"/>
      <c r="DI86" s="18"/>
    </row>
    <row r="87" spans="104:113">
      <c r="CZ87" s="18"/>
      <c r="DA87" s="18"/>
      <c r="DB87" s="18"/>
      <c r="DC87" s="18"/>
      <c r="DF87" s="18"/>
      <c r="DG87" s="18"/>
      <c r="DH87" s="18"/>
      <c r="DI87" s="18"/>
    </row>
    <row r="88" spans="104:113">
      <c r="CZ88" s="18"/>
      <c r="DA88" s="18"/>
      <c r="DB88" s="18"/>
      <c r="DC88" s="18"/>
      <c r="DF88" s="18"/>
      <c r="DG88" s="18"/>
      <c r="DH88" s="18"/>
      <c r="DI88" s="18"/>
    </row>
    <row r="89" spans="104:113">
      <c r="CZ89" s="18"/>
      <c r="DA89" s="18"/>
      <c r="DB89" s="18"/>
      <c r="DC89" s="18"/>
      <c r="DF89" s="18"/>
      <c r="DG89" s="18"/>
      <c r="DH89" s="18"/>
      <c r="DI89" s="18"/>
    </row>
    <row r="90" spans="104:113">
      <c r="CZ90" s="18"/>
      <c r="DA90" s="18"/>
      <c r="DB90" s="18"/>
      <c r="DC90" s="18"/>
      <c r="DF90" s="18"/>
      <c r="DG90" s="18"/>
      <c r="DH90" s="18"/>
      <c r="DI90" s="18"/>
    </row>
    <row r="91" spans="104:113">
      <c r="CZ91" s="18"/>
      <c r="DA91" s="18"/>
      <c r="DB91" s="18"/>
      <c r="DC91" s="18"/>
      <c r="DF91" s="18"/>
      <c r="DG91" s="18"/>
      <c r="DH91" s="18"/>
      <c r="DI91" s="18"/>
    </row>
    <row r="92" spans="104:113">
      <c r="CZ92" s="18"/>
      <c r="DA92" s="18"/>
      <c r="DB92" s="18"/>
      <c r="DC92" s="18"/>
      <c r="DF92" s="18"/>
      <c r="DG92" s="18"/>
      <c r="DH92" s="18"/>
      <c r="DI92" s="18"/>
    </row>
    <row r="93" spans="104:113">
      <c r="CZ93" s="18"/>
      <c r="DA93" s="18"/>
      <c r="DB93" s="18"/>
      <c r="DC93" s="18"/>
      <c r="DF93" s="18"/>
      <c r="DG93" s="18"/>
      <c r="DH93" s="18"/>
      <c r="DI93" s="18"/>
    </row>
    <row r="94" spans="104:113">
      <c r="CZ94" s="18"/>
      <c r="DA94" s="18"/>
      <c r="DB94" s="18"/>
      <c r="DC94" s="18"/>
      <c r="DF94" s="18"/>
      <c r="DG94" s="18"/>
      <c r="DH94" s="18"/>
      <c r="DI94" s="18"/>
    </row>
    <row r="95" spans="104:113">
      <c r="CZ95" s="18"/>
      <c r="DA95" s="18"/>
      <c r="DB95" s="18"/>
      <c r="DC95" s="18"/>
      <c r="DF95" s="18"/>
      <c r="DG95" s="18"/>
      <c r="DH95" s="18"/>
      <c r="DI95" s="18"/>
    </row>
    <row r="96" spans="104:113">
      <c r="CZ96" s="18"/>
      <c r="DA96" s="18"/>
      <c r="DB96" s="18"/>
      <c r="DC96" s="18"/>
      <c r="DF96" s="18"/>
      <c r="DG96" s="18"/>
      <c r="DH96" s="18"/>
      <c r="DI96" s="18"/>
    </row>
    <row r="97" spans="104:113">
      <c r="CZ97" s="18"/>
      <c r="DA97" s="18"/>
      <c r="DB97" s="18"/>
      <c r="DC97" s="18"/>
      <c r="DF97" s="18"/>
      <c r="DG97" s="18"/>
      <c r="DH97" s="18"/>
      <c r="DI97" s="18"/>
    </row>
    <row r="98" spans="104:113">
      <c r="CZ98" s="18"/>
      <c r="DA98" s="18"/>
      <c r="DB98" s="18"/>
      <c r="DC98" s="18"/>
      <c r="DF98" s="18"/>
      <c r="DG98" s="18"/>
      <c r="DH98" s="18"/>
      <c r="DI98" s="18"/>
    </row>
    <row r="99" spans="104:113">
      <c r="CZ99" s="18"/>
      <c r="DA99" s="18"/>
      <c r="DB99" s="18"/>
      <c r="DC99" s="18"/>
      <c r="DF99" s="18"/>
      <c r="DG99" s="18"/>
      <c r="DH99" s="18"/>
      <c r="DI99" s="18"/>
    </row>
    <row r="100" spans="104:113">
      <c r="CZ100" s="18"/>
      <c r="DA100" s="18"/>
      <c r="DB100" s="18"/>
      <c r="DC100" s="18"/>
      <c r="DF100" s="18"/>
      <c r="DG100" s="18"/>
      <c r="DH100" s="18"/>
      <c r="DI100" s="18"/>
    </row>
    <row r="101" spans="104:113">
      <c r="CZ101" s="18"/>
      <c r="DA101" s="18"/>
      <c r="DB101" s="18"/>
      <c r="DC101" s="18"/>
      <c r="DF101" s="18"/>
      <c r="DG101" s="18"/>
      <c r="DH101" s="18"/>
      <c r="DI101" s="18"/>
    </row>
    <row r="102" spans="104:113">
      <c r="CZ102" s="18"/>
      <c r="DA102" s="18"/>
      <c r="DB102" s="18"/>
      <c r="DC102" s="18"/>
      <c r="DF102" s="18"/>
      <c r="DG102" s="18"/>
      <c r="DH102" s="18"/>
      <c r="DI102" s="18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12"/>
  <sheetViews>
    <sheetView zoomScale="125" zoomScaleNormal="125" zoomScalePageLayoutView="125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C14" sqref="C14"/>
    </sheetView>
  </sheetViews>
  <sheetFormatPr baseColWidth="10" defaultRowHeight="14" x14ac:dyDescent="0"/>
  <cols>
    <col min="1" max="26" width="11" style="6" bestFit="1" customWidth="1"/>
    <col min="27" max="101" width="13.33203125" style="6" bestFit="1" customWidth="1"/>
    <col min="102" max="103" width="10.83203125" style="6"/>
    <col min="104" max="106" width="16" style="6" bestFit="1" customWidth="1"/>
    <col min="107" max="107" width="15.1640625" style="6" bestFit="1" customWidth="1"/>
    <col min="108" max="109" width="10.83203125" style="6"/>
    <col min="110" max="113" width="15.1640625" style="6" bestFit="1" customWidth="1"/>
    <col min="114" max="16384" width="10.83203125" style="6"/>
  </cols>
  <sheetData>
    <row r="1" spans="1:113" ht="15">
      <c r="A1" s="5"/>
      <c r="B1" s="14">
        <v>1</v>
      </c>
      <c r="C1" s="14">
        <f>B1+1</f>
        <v>2</v>
      </c>
      <c r="D1" s="14">
        <f t="shared" ref="D1:AY1" si="0">C1+1</f>
        <v>3</v>
      </c>
      <c r="E1" s="14">
        <f t="shared" si="0"/>
        <v>4</v>
      </c>
      <c r="F1" s="14">
        <f t="shared" si="0"/>
        <v>5</v>
      </c>
      <c r="G1" s="14">
        <f t="shared" si="0"/>
        <v>6</v>
      </c>
      <c r="H1" s="14">
        <f t="shared" si="0"/>
        <v>7</v>
      </c>
      <c r="I1" s="14">
        <f t="shared" si="0"/>
        <v>8</v>
      </c>
      <c r="J1" s="14">
        <f t="shared" si="0"/>
        <v>9</v>
      </c>
      <c r="K1" s="14">
        <f t="shared" si="0"/>
        <v>10</v>
      </c>
      <c r="L1" s="14">
        <f t="shared" si="0"/>
        <v>11</v>
      </c>
      <c r="M1" s="14">
        <f t="shared" si="0"/>
        <v>12</v>
      </c>
      <c r="N1" s="14">
        <f t="shared" si="0"/>
        <v>13</v>
      </c>
      <c r="O1" s="14">
        <f t="shared" si="0"/>
        <v>14</v>
      </c>
      <c r="P1" s="14">
        <f t="shared" si="0"/>
        <v>15</v>
      </c>
      <c r="Q1" s="14">
        <f t="shared" si="0"/>
        <v>16</v>
      </c>
      <c r="R1" s="14">
        <f t="shared" si="0"/>
        <v>17</v>
      </c>
      <c r="S1" s="14">
        <f t="shared" si="0"/>
        <v>18</v>
      </c>
      <c r="T1" s="14">
        <f t="shared" si="0"/>
        <v>19</v>
      </c>
      <c r="U1" s="14">
        <f t="shared" si="0"/>
        <v>20</v>
      </c>
      <c r="V1" s="14">
        <f t="shared" si="0"/>
        <v>21</v>
      </c>
      <c r="W1" s="14">
        <f t="shared" si="0"/>
        <v>22</v>
      </c>
      <c r="X1" s="14">
        <f t="shared" si="0"/>
        <v>23</v>
      </c>
      <c r="Y1" s="14">
        <f t="shared" si="0"/>
        <v>24</v>
      </c>
      <c r="Z1" s="14">
        <f t="shared" si="0"/>
        <v>25</v>
      </c>
      <c r="AA1" s="14">
        <f t="shared" si="0"/>
        <v>26</v>
      </c>
      <c r="AB1" s="14">
        <f t="shared" si="0"/>
        <v>27</v>
      </c>
      <c r="AC1" s="14">
        <f t="shared" si="0"/>
        <v>28</v>
      </c>
      <c r="AD1" s="14">
        <f t="shared" si="0"/>
        <v>29</v>
      </c>
      <c r="AE1" s="14">
        <f t="shared" si="0"/>
        <v>30</v>
      </c>
      <c r="AF1" s="14">
        <f t="shared" si="0"/>
        <v>31</v>
      </c>
      <c r="AG1" s="14">
        <f t="shared" si="0"/>
        <v>32</v>
      </c>
      <c r="AH1" s="14">
        <f t="shared" si="0"/>
        <v>33</v>
      </c>
      <c r="AI1" s="14">
        <f t="shared" si="0"/>
        <v>34</v>
      </c>
      <c r="AJ1" s="14">
        <f t="shared" si="0"/>
        <v>35</v>
      </c>
      <c r="AK1" s="14">
        <f t="shared" si="0"/>
        <v>36</v>
      </c>
      <c r="AL1" s="14">
        <f t="shared" si="0"/>
        <v>37</v>
      </c>
      <c r="AM1" s="14">
        <f t="shared" si="0"/>
        <v>38</v>
      </c>
      <c r="AN1" s="14">
        <f t="shared" si="0"/>
        <v>39</v>
      </c>
      <c r="AO1" s="14">
        <f t="shared" si="0"/>
        <v>40</v>
      </c>
      <c r="AP1" s="14">
        <f t="shared" si="0"/>
        <v>41</v>
      </c>
      <c r="AQ1" s="14">
        <f t="shared" si="0"/>
        <v>42</v>
      </c>
      <c r="AR1" s="14">
        <f t="shared" si="0"/>
        <v>43</v>
      </c>
      <c r="AS1" s="14">
        <f t="shared" si="0"/>
        <v>44</v>
      </c>
      <c r="AT1" s="14">
        <f t="shared" si="0"/>
        <v>45</v>
      </c>
      <c r="AU1" s="14">
        <f t="shared" si="0"/>
        <v>46</v>
      </c>
      <c r="AV1" s="14">
        <f t="shared" si="0"/>
        <v>47</v>
      </c>
      <c r="AW1" s="14">
        <f t="shared" si="0"/>
        <v>48</v>
      </c>
      <c r="AX1" s="14">
        <f t="shared" si="0"/>
        <v>49</v>
      </c>
      <c r="AY1" s="14">
        <f t="shared" si="0"/>
        <v>50</v>
      </c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</row>
    <row r="2" spans="1:113" ht="15">
      <c r="A2" s="15" t="s">
        <v>21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Z2" s="18"/>
      <c r="DA2" s="18"/>
      <c r="DB2" s="18"/>
      <c r="DC2" s="18"/>
      <c r="DF2" s="18"/>
      <c r="DG2" s="18"/>
      <c r="DH2" s="18"/>
      <c r="DI2" s="18"/>
    </row>
    <row r="3" spans="1:113" ht="15">
      <c r="A3" s="21" t="s">
        <v>5</v>
      </c>
      <c r="B3" s="10">
        <f ca="1">1+RAND()</f>
        <v>1.9113152116067273</v>
      </c>
      <c r="C3" s="10">
        <f t="shared" ref="C3:AY3" ca="1" si="1">1+RAND()</f>
        <v>1.3485767949375544</v>
      </c>
      <c r="D3" s="10">
        <f t="shared" ca="1" si="1"/>
        <v>1.13460038650895</v>
      </c>
      <c r="E3" s="10">
        <f t="shared" ca="1" si="1"/>
        <v>1.2915573891377741</v>
      </c>
      <c r="F3" s="10">
        <f t="shared" ca="1" si="1"/>
        <v>1.1961369473147907</v>
      </c>
      <c r="G3" s="10">
        <f t="shared" ca="1" si="1"/>
        <v>1.7187581019758125</v>
      </c>
      <c r="H3" s="10">
        <f t="shared" ca="1" si="1"/>
        <v>1.897664201743972</v>
      </c>
      <c r="I3" s="10">
        <f t="shared" ca="1" si="1"/>
        <v>1.2763682446026139</v>
      </c>
      <c r="J3" s="10">
        <f t="shared" ca="1" si="1"/>
        <v>1.7205911493261306</v>
      </c>
      <c r="K3" s="10">
        <f t="shared" ca="1" si="1"/>
        <v>1.350501435529013</v>
      </c>
      <c r="L3" s="10">
        <f t="shared" ca="1" si="1"/>
        <v>1.2930454122045392</v>
      </c>
      <c r="M3" s="10">
        <f t="shared" ca="1" si="1"/>
        <v>1.5773874664560921</v>
      </c>
      <c r="N3" s="10">
        <f t="shared" ca="1" si="1"/>
        <v>1.0634813999956951</v>
      </c>
      <c r="O3" s="10">
        <f t="shared" ca="1" si="1"/>
        <v>1.7501279777628667</v>
      </c>
      <c r="P3" s="10">
        <f t="shared" ca="1" si="1"/>
        <v>1.0720230008696168</v>
      </c>
      <c r="Q3" s="10">
        <f t="shared" ca="1" si="1"/>
        <v>1.8488895435387769</v>
      </c>
      <c r="R3" s="10">
        <f t="shared" ca="1" si="1"/>
        <v>1.8956116002006862</v>
      </c>
      <c r="S3" s="10">
        <f t="shared" ca="1" si="1"/>
        <v>1.8119071469744092</v>
      </c>
      <c r="T3" s="10">
        <f t="shared" ca="1" si="1"/>
        <v>1.6429501913869737</v>
      </c>
      <c r="U3" s="10">
        <f t="shared" ca="1" si="1"/>
        <v>1.0959679568044538</v>
      </c>
      <c r="V3" s="10">
        <f t="shared" ca="1" si="1"/>
        <v>1.9955387872859578</v>
      </c>
      <c r="W3" s="10">
        <f t="shared" ca="1" si="1"/>
        <v>1.4577171681440533</v>
      </c>
      <c r="X3" s="10">
        <f t="shared" ca="1" si="1"/>
        <v>1.8024231564629576</v>
      </c>
      <c r="Y3" s="10">
        <f t="shared" ca="1" si="1"/>
        <v>1.2361505403557005</v>
      </c>
      <c r="Z3" s="10">
        <f t="shared" ca="1" si="1"/>
        <v>1.7836683933322521</v>
      </c>
      <c r="AA3" s="10">
        <f t="shared" ca="1" si="1"/>
        <v>1.5929873544132804</v>
      </c>
      <c r="AB3" s="10">
        <f t="shared" ca="1" si="1"/>
        <v>1.3188721763935978</v>
      </c>
      <c r="AC3" s="10">
        <f t="shared" ca="1" si="1"/>
        <v>1.4145919763719361</v>
      </c>
      <c r="AD3" s="10">
        <f t="shared" ca="1" si="1"/>
        <v>1.0246112909191436</v>
      </c>
      <c r="AE3" s="10">
        <f t="shared" ca="1" si="1"/>
        <v>1.6544667691840673</v>
      </c>
      <c r="AF3" s="10">
        <f t="shared" ca="1" si="1"/>
        <v>1.9210428003113733</v>
      </c>
      <c r="AG3" s="10">
        <f t="shared" ca="1" si="1"/>
        <v>1.7836320750447476</v>
      </c>
      <c r="AH3" s="10">
        <f t="shared" ca="1" si="1"/>
        <v>1.431250863919586</v>
      </c>
      <c r="AI3" s="10">
        <f t="shared" ca="1" si="1"/>
        <v>1.1457506311001278</v>
      </c>
      <c r="AJ3" s="10">
        <f t="shared" ca="1" si="1"/>
        <v>1.9238116293160257</v>
      </c>
      <c r="AK3" s="10">
        <f t="shared" ca="1" si="1"/>
        <v>1.1782412388284165</v>
      </c>
      <c r="AL3" s="10">
        <f t="shared" ca="1" si="1"/>
        <v>1.6568751640604713</v>
      </c>
      <c r="AM3" s="10">
        <f t="shared" ca="1" si="1"/>
        <v>1.3541603914287812</v>
      </c>
      <c r="AN3" s="10">
        <f t="shared" ca="1" si="1"/>
        <v>1.460317510382803</v>
      </c>
      <c r="AO3" s="10">
        <f t="shared" ca="1" si="1"/>
        <v>1.9755872538326109</v>
      </c>
      <c r="AP3" s="10">
        <f t="shared" ca="1" si="1"/>
        <v>1.3124737466700911</v>
      </c>
      <c r="AQ3" s="10">
        <f t="shared" ca="1" si="1"/>
        <v>1.3273739015171806</v>
      </c>
      <c r="AR3" s="10">
        <f t="shared" ca="1" si="1"/>
        <v>1.0144053446107346</v>
      </c>
      <c r="AS3" s="10">
        <f t="shared" ca="1" si="1"/>
        <v>1.9596603236758652</v>
      </c>
      <c r="AT3" s="10">
        <f t="shared" ca="1" si="1"/>
        <v>1.8446678936953675</v>
      </c>
      <c r="AU3" s="10">
        <f t="shared" ca="1" si="1"/>
        <v>1.2957407569520965</v>
      </c>
      <c r="AV3" s="10">
        <f t="shared" ca="1" si="1"/>
        <v>1.6786928255474258</v>
      </c>
      <c r="AW3" s="10">
        <f t="shared" ca="1" si="1"/>
        <v>1.7099537607194262</v>
      </c>
      <c r="AX3" s="10">
        <f t="shared" ca="1" si="1"/>
        <v>1.2673076132449759</v>
      </c>
      <c r="AY3" s="10">
        <f t="shared" ca="1" si="1"/>
        <v>1.6416998404014225</v>
      </c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</row>
    <row r="4" spans="1:113" ht="15">
      <c r="A4" s="21" t="s">
        <v>16</v>
      </c>
      <c r="B4" s="22">
        <f ca="1">RAND()</f>
        <v>0.31886562521084394</v>
      </c>
      <c r="C4" s="22">
        <f t="shared" ref="C4:AY6" ca="1" si="2">RAND()</f>
        <v>0.27048213298568635</v>
      </c>
      <c r="D4" s="22">
        <f t="shared" ca="1" si="2"/>
        <v>0.48013427671346787</v>
      </c>
      <c r="E4" s="22">
        <f t="shared" ca="1" si="2"/>
        <v>3.5034446711477596E-2</v>
      </c>
      <c r="F4" s="22">
        <f t="shared" ca="1" si="2"/>
        <v>0.53636145627692955</v>
      </c>
      <c r="G4" s="22">
        <f t="shared" ca="1" si="2"/>
        <v>0.43212688083468365</v>
      </c>
      <c r="H4" s="22">
        <f t="shared" ca="1" si="2"/>
        <v>0.73640067427990752</v>
      </c>
      <c r="I4" s="22">
        <f t="shared" ca="1" si="2"/>
        <v>0.42351958753878249</v>
      </c>
      <c r="J4" s="22">
        <f t="shared" ca="1" si="2"/>
        <v>0.30034603985192898</v>
      </c>
      <c r="K4" s="22">
        <f t="shared" ca="1" si="2"/>
        <v>0.86210481927084515</v>
      </c>
      <c r="L4" s="22">
        <f t="shared" ca="1" si="2"/>
        <v>0.24289892962889847</v>
      </c>
      <c r="M4" s="22">
        <f t="shared" ca="1" si="2"/>
        <v>0.62450656381436853</v>
      </c>
      <c r="N4" s="22">
        <f t="shared" ca="1" si="2"/>
        <v>0.45683475475753732</v>
      </c>
      <c r="O4" s="22">
        <f t="shared" ca="1" si="2"/>
        <v>0.81677924200281027</v>
      </c>
      <c r="P4" s="22">
        <f t="shared" ca="1" si="2"/>
        <v>0.19821819160934928</v>
      </c>
      <c r="Q4" s="22">
        <f t="shared" ca="1" si="2"/>
        <v>0.20776152098168077</v>
      </c>
      <c r="R4" s="22">
        <f t="shared" ca="1" si="2"/>
        <v>0.57560880760867672</v>
      </c>
      <c r="S4" s="22">
        <f t="shared" ca="1" si="2"/>
        <v>0.68521931130370406</v>
      </c>
      <c r="T4" s="22">
        <f t="shared" ca="1" si="2"/>
        <v>9.9813800034684874E-3</v>
      </c>
      <c r="U4" s="22">
        <f t="shared" ca="1" si="2"/>
        <v>2.4278062418008894E-2</v>
      </c>
      <c r="V4" s="22">
        <f t="shared" ca="1" si="2"/>
        <v>0.69515045127906161</v>
      </c>
      <c r="W4" s="22">
        <f t="shared" ca="1" si="2"/>
        <v>0.36558386430822187</v>
      </c>
      <c r="X4" s="22">
        <f t="shared" ca="1" si="2"/>
        <v>0.93729316226799508</v>
      </c>
      <c r="Y4" s="22">
        <f t="shared" ca="1" si="2"/>
        <v>0.59184239154489438</v>
      </c>
      <c r="Z4" s="22">
        <f t="shared" ca="1" si="2"/>
        <v>0.35359207065511189</v>
      </c>
      <c r="AA4" s="22">
        <f t="shared" ca="1" si="2"/>
        <v>0.61264259032816792</v>
      </c>
      <c r="AB4" s="22">
        <f t="shared" ca="1" si="2"/>
        <v>0.68172396159321158</v>
      </c>
      <c r="AC4" s="22">
        <f t="shared" ca="1" si="2"/>
        <v>0.57645070080065997</v>
      </c>
      <c r="AD4" s="22">
        <f t="shared" ca="1" si="2"/>
        <v>0.71235701049771238</v>
      </c>
      <c r="AE4" s="22">
        <f t="shared" ca="1" si="2"/>
        <v>0.33260086160882585</v>
      </c>
      <c r="AF4" s="22">
        <f t="shared" ca="1" si="2"/>
        <v>0.39810512143383392</v>
      </c>
      <c r="AG4" s="22">
        <f t="shared" ca="1" si="2"/>
        <v>1.5859551424781126E-2</v>
      </c>
      <c r="AH4" s="22">
        <f t="shared" ca="1" si="2"/>
        <v>0.12433849278844677</v>
      </c>
      <c r="AI4" s="22">
        <f t="shared" ca="1" si="2"/>
        <v>0.59716039346269945</v>
      </c>
      <c r="AJ4" s="22">
        <f t="shared" ca="1" si="2"/>
        <v>0.75550653436850268</v>
      </c>
      <c r="AK4" s="22">
        <f t="shared" ca="1" si="2"/>
        <v>8.851390100848E-2</v>
      </c>
      <c r="AL4" s="22">
        <f t="shared" ca="1" si="2"/>
        <v>0.31451308605199857</v>
      </c>
      <c r="AM4" s="22">
        <f t="shared" ca="1" si="2"/>
        <v>0.98230652519865003</v>
      </c>
      <c r="AN4" s="22">
        <f t="shared" ca="1" si="2"/>
        <v>0.80519055113014226</v>
      </c>
      <c r="AO4" s="22">
        <f t="shared" ca="1" si="2"/>
        <v>0.27355402024324427</v>
      </c>
      <c r="AP4" s="22">
        <f t="shared" ca="1" si="2"/>
        <v>0.9031315206094539</v>
      </c>
      <c r="AQ4" s="22">
        <f t="shared" ca="1" si="2"/>
        <v>1.1876508009841191E-2</v>
      </c>
      <c r="AR4" s="22">
        <f t="shared" ca="1" si="2"/>
        <v>0.78213837601328584</v>
      </c>
      <c r="AS4" s="22">
        <f t="shared" ca="1" si="2"/>
        <v>0.6218595654195006</v>
      </c>
      <c r="AT4" s="22">
        <f t="shared" ca="1" si="2"/>
        <v>0.45218317662360774</v>
      </c>
      <c r="AU4" s="22">
        <f t="shared" ca="1" si="2"/>
        <v>0.95835804832327731</v>
      </c>
      <c r="AV4" s="22">
        <f t="shared" ca="1" si="2"/>
        <v>0.87769230358069983</v>
      </c>
      <c r="AW4" s="22">
        <f t="shared" ca="1" si="2"/>
        <v>0.99586091654214348</v>
      </c>
      <c r="AX4" s="22">
        <f t="shared" ca="1" si="2"/>
        <v>0.16880346600529827</v>
      </c>
      <c r="AY4" s="22">
        <f t="shared" ca="1" si="2"/>
        <v>0.39538564823462319</v>
      </c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</row>
    <row r="5" spans="1:113" ht="15">
      <c r="A5" s="21" t="s">
        <v>17</v>
      </c>
      <c r="B5" s="22">
        <f t="shared" ref="B5:Q6" ca="1" si="3">RAND()</f>
        <v>0.24136622814461139</v>
      </c>
      <c r="C5" s="22">
        <f t="shared" ca="1" si="3"/>
        <v>0.12519454550415932</v>
      </c>
      <c r="D5" s="22">
        <f t="shared" ca="1" si="3"/>
        <v>5.060754497349329E-3</v>
      </c>
      <c r="E5" s="22">
        <f t="shared" ca="1" si="3"/>
        <v>0.49261424765402351</v>
      </c>
      <c r="F5" s="22">
        <f t="shared" ca="1" si="3"/>
        <v>0.31812633585281025</v>
      </c>
      <c r="G5" s="22">
        <f t="shared" ca="1" si="3"/>
        <v>0.90441982690565537</v>
      </c>
      <c r="H5" s="22">
        <f t="shared" ca="1" si="3"/>
        <v>0.14074651661047899</v>
      </c>
      <c r="I5" s="22">
        <f t="shared" ca="1" si="3"/>
        <v>0.8005201306988563</v>
      </c>
      <c r="J5" s="22">
        <f t="shared" ca="1" si="3"/>
        <v>0.77137575921802592</v>
      </c>
      <c r="K5" s="22">
        <f t="shared" ca="1" si="3"/>
        <v>0.64354556272032404</v>
      </c>
      <c r="L5" s="22">
        <f t="shared" ca="1" si="3"/>
        <v>0.2277747843690493</v>
      </c>
      <c r="M5" s="22">
        <f t="shared" ca="1" si="3"/>
        <v>0.78735561354370298</v>
      </c>
      <c r="N5" s="22">
        <f t="shared" ca="1" si="3"/>
        <v>0.60497676635249653</v>
      </c>
      <c r="O5" s="22">
        <f t="shared" ca="1" si="3"/>
        <v>0.72311781108052986</v>
      </c>
      <c r="P5" s="22">
        <f t="shared" ca="1" si="3"/>
        <v>0.67166126265763459</v>
      </c>
      <c r="Q5" s="22">
        <f t="shared" ca="1" si="3"/>
        <v>0.9227865260361876</v>
      </c>
      <c r="R5" s="22">
        <f t="shared" ca="1" si="2"/>
        <v>0.89445309558369224</v>
      </c>
      <c r="S5" s="22">
        <f t="shared" ca="1" si="2"/>
        <v>0.92194299681893033</v>
      </c>
      <c r="T5" s="22">
        <f t="shared" ca="1" si="2"/>
        <v>0.93655075624632977</v>
      </c>
      <c r="U5" s="22">
        <f t="shared" ca="1" si="2"/>
        <v>0.12264014975886772</v>
      </c>
      <c r="V5" s="22">
        <f t="shared" ca="1" si="2"/>
        <v>0.94918686722756562</v>
      </c>
      <c r="W5" s="22">
        <f t="shared" ca="1" si="2"/>
        <v>0.44972702816877341</v>
      </c>
      <c r="X5" s="22">
        <f t="shared" ca="1" si="2"/>
        <v>0.12624333937213095</v>
      </c>
      <c r="Y5" s="22">
        <f t="shared" ca="1" si="2"/>
        <v>0.32675013994023727</v>
      </c>
      <c r="Z5" s="22">
        <f t="shared" ca="1" si="2"/>
        <v>0.65926216666981929</v>
      </c>
      <c r="AA5" s="22">
        <f t="shared" ca="1" si="2"/>
        <v>0.24905738826557855</v>
      </c>
      <c r="AB5" s="22">
        <f t="shared" ca="1" si="2"/>
        <v>0.83505110379218705</v>
      </c>
      <c r="AC5" s="22">
        <f t="shared" ca="1" si="2"/>
        <v>0.491764913668711</v>
      </c>
      <c r="AD5" s="22">
        <f t="shared" ca="1" si="2"/>
        <v>0.70137062037093911</v>
      </c>
      <c r="AE5" s="22">
        <f t="shared" ca="1" si="2"/>
        <v>0.38205023894111234</v>
      </c>
      <c r="AF5" s="22">
        <f t="shared" ca="1" si="2"/>
        <v>0.45703028048747874</v>
      </c>
      <c r="AG5" s="22">
        <f t="shared" ca="1" si="2"/>
        <v>0.27707751070155673</v>
      </c>
      <c r="AH5" s="22">
        <f t="shared" ca="1" si="2"/>
        <v>0.84624807383748202</v>
      </c>
      <c r="AI5" s="22">
        <f t="shared" ca="1" si="2"/>
        <v>0.62829446974946768</v>
      </c>
      <c r="AJ5" s="22">
        <f t="shared" ca="1" si="2"/>
        <v>0.71009393708395929</v>
      </c>
      <c r="AK5" s="22">
        <f t="shared" ca="1" si="2"/>
        <v>0.48655846832738081</v>
      </c>
      <c r="AL5" s="22">
        <f t="shared" ca="1" si="2"/>
        <v>0.25122282172873411</v>
      </c>
      <c r="AM5" s="22">
        <f t="shared" ca="1" si="2"/>
        <v>3.309986739451265E-3</v>
      </c>
      <c r="AN5" s="22">
        <f t="shared" ca="1" si="2"/>
        <v>0.3663323763667371</v>
      </c>
      <c r="AO5" s="22">
        <f t="shared" ca="1" si="2"/>
        <v>0.58899278611356298</v>
      </c>
      <c r="AP5" s="22">
        <f t="shared" ca="1" si="2"/>
        <v>0.80650826461108482</v>
      </c>
      <c r="AQ5" s="22">
        <f t="shared" ca="1" si="2"/>
        <v>0.18568772710623427</v>
      </c>
      <c r="AR5" s="22">
        <f t="shared" ca="1" si="2"/>
        <v>0.96268857694844412</v>
      </c>
      <c r="AS5" s="22">
        <f t="shared" ca="1" si="2"/>
        <v>9.4929296806305352E-3</v>
      </c>
      <c r="AT5" s="22">
        <f t="shared" ca="1" si="2"/>
        <v>1.5641161668176862E-2</v>
      </c>
      <c r="AU5" s="22">
        <f t="shared" ca="1" si="2"/>
        <v>0.76345802132732588</v>
      </c>
      <c r="AV5" s="22">
        <f t="shared" ca="1" si="2"/>
        <v>0.54108480570548301</v>
      </c>
      <c r="AW5" s="22">
        <f t="shared" ca="1" si="2"/>
        <v>0.54109305788270368</v>
      </c>
      <c r="AX5" s="22">
        <f t="shared" ca="1" si="2"/>
        <v>0.52797531224389849</v>
      </c>
      <c r="AY5" s="22">
        <f t="shared" ca="1" si="2"/>
        <v>0.61145289036238137</v>
      </c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</row>
    <row r="6" spans="1:113" ht="15">
      <c r="A6" s="21" t="s">
        <v>18</v>
      </c>
      <c r="B6" s="22">
        <f t="shared" ca="1" si="3"/>
        <v>0.20242305772949298</v>
      </c>
      <c r="C6" s="22">
        <f t="shared" ca="1" si="2"/>
        <v>0.68603019480608352</v>
      </c>
      <c r="D6" s="22">
        <f t="shared" ca="1" si="2"/>
        <v>0.55192244861199702</v>
      </c>
      <c r="E6" s="22">
        <f t="shared" ca="1" si="2"/>
        <v>0.70502198853166287</v>
      </c>
      <c r="F6" s="22">
        <f t="shared" ca="1" si="2"/>
        <v>0.46676299889127026</v>
      </c>
      <c r="G6" s="22">
        <f t="shared" ca="1" si="2"/>
        <v>0.98405159556115362</v>
      </c>
      <c r="H6" s="22">
        <f t="shared" ca="1" si="2"/>
        <v>0.25141192102151166</v>
      </c>
      <c r="I6" s="22">
        <f t="shared" ca="1" si="2"/>
        <v>0.91673171801537467</v>
      </c>
      <c r="J6" s="22">
        <f t="shared" ca="1" si="2"/>
        <v>0.87696817908668201</v>
      </c>
      <c r="K6" s="22">
        <f t="shared" ca="1" si="2"/>
        <v>0.24617768832333242</v>
      </c>
      <c r="L6" s="22">
        <f t="shared" ca="1" si="2"/>
        <v>0.94105663095570635</v>
      </c>
      <c r="M6" s="22">
        <f t="shared" ca="1" si="2"/>
        <v>0.27106727956556753</v>
      </c>
      <c r="N6" s="22">
        <f t="shared" ca="1" si="2"/>
        <v>0.89803404463191994</v>
      </c>
      <c r="O6" s="22">
        <f t="shared" ca="1" si="2"/>
        <v>0.82517252972813826</v>
      </c>
      <c r="P6" s="22">
        <f t="shared" ca="1" si="2"/>
        <v>0.83856880090420005</v>
      </c>
      <c r="Q6" s="22">
        <f t="shared" ca="1" si="2"/>
        <v>0.82373831805628583</v>
      </c>
      <c r="R6" s="22">
        <f t="shared" ca="1" si="2"/>
        <v>0.65382982144567536</v>
      </c>
      <c r="S6" s="22">
        <f t="shared" ca="1" si="2"/>
        <v>0.58585806813001029</v>
      </c>
      <c r="T6" s="22">
        <f t="shared" ca="1" si="2"/>
        <v>0.85161185158808228</v>
      </c>
      <c r="U6" s="22">
        <f t="shared" ca="1" si="2"/>
        <v>0.36074521585283736</v>
      </c>
      <c r="V6" s="22">
        <f t="shared" ca="1" si="2"/>
        <v>0.64674842176538627</v>
      </c>
      <c r="W6" s="22">
        <f t="shared" ca="1" si="2"/>
        <v>0.74869185368861435</v>
      </c>
      <c r="X6" s="22">
        <f t="shared" ca="1" si="2"/>
        <v>3.4011743978088482E-2</v>
      </c>
      <c r="Y6" s="22">
        <f t="shared" ca="1" si="2"/>
        <v>0.79906370172196228</v>
      </c>
      <c r="Z6" s="22">
        <f t="shared" ca="1" si="2"/>
        <v>0.92323055857144376</v>
      </c>
      <c r="AA6" s="22">
        <f t="shared" ca="1" si="2"/>
        <v>7.7245108935097395E-2</v>
      </c>
      <c r="AB6" s="22">
        <f t="shared" ca="1" si="2"/>
        <v>0.74194380334482579</v>
      </c>
      <c r="AC6" s="22">
        <f t="shared" ca="1" si="2"/>
        <v>0.53850463083536615</v>
      </c>
      <c r="AD6" s="22">
        <f t="shared" ca="1" si="2"/>
        <v>0.43393212070485365</v>
      </c>
      <c r="AE6" s="22">
        <f t="shared" ca="1" si="2"/>
        <v>0.45732530169827801</v>
      </c>
      <c r="AF6" s="22">
        <f t="shared" ca="1" si="2"/>
        <v>2.0256532483876932E-2</v>
      </c>
      <c r="AG6" s="22">
        <f t="shared" ca="1" si="2"/>
        <v>0.34296763911192196</v>
      </c>
      <c r="AH6" s="22">
        <f t="shared" ca="1" si="2"/>
        <v>0.72066299283332358</v>
      </c>
      <c r="AI6" s="22">
        <f t="shared" ca="1" si="2"/>
        <v>0.34449554492951262</v>
      </c>
      <c r="AJ6" s="22">
        <f t="shared" ca="1" si="2"/>
        <v>0.20361929872244811</v>
      </c>
      <c r="AK6" s="22">
        <f t="shared" ca="1" si="2"/>
        <v>0.82186271642608855</v>
      </c>
      <c r="AL6" s="22">
        <f t="shared" ca="1" si="2"/>
        <v>0.14421429742490643</v>
      </c>
      <c r="AM6" s="22">
        <f t="shared" ca="1" si="2"/>
        <v>0.87849996463202873</v>
      </c>
      <c r="AN6" s="22">
        <f t="shared" ca="1" si="2"/>
        <v>0.60015858740319361</v>
      </c>
      <c r="AO6" s="22">
        <f t="shared" ca="1" si="2"/>
        <v>0.84523744334852391</v>
      </c>
      <c r="AP6" s="22">
        <f t="shared" ca="1" si="2"/>
        <v>0.18078097580969577</v>
      </c>
      <c r="AQ6" s="22">
        <f t="shared" ca="1" si="2"/>
        <v>0.21855202283880237</v>
      </c>
      <c r="AR6" s="22">
        <f t="shared" ca="1" si="2"/>
        <v>0.6654450859999933</v>
      </c>
      <c r="AS6" s="22">
        <f t="shared" ca="1" si="2"/>
        <v>0.79849631592515169</v>
      </c>
      <c r="AT6" s="22">
        <f t="shared" ca="1" si="2"/>
        <v>0.96631562001253724</v>
      </c>
      <c r="AU6" s="22">
        <f t="shared" ca="1" si="2"/>
        <v>0.21068280853895693</v>
      </c>
      <c r="AV6" s="22">
        <f t="shared" ca="1" si="2"/>
        <v>0.73205406854364707</v>
      </c>
      <c r="AW6" s="22">
        <f t="shared" ca="1" si="2"/>
        <v>0.42889702065436996</v>
      </c>
      <c r="AX6" s="22">
        <f t="shared" ca="1" si="2"/>
        <v>0.87121804803748981</v>
      </c>
      <c r="AY6" s="22">
        <f t="shared" ca="1" si="2"/>
        <v>0.89270109984029522</v>
      </c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</row>
    <row r="7" spans="1:113" ht="15">
      <c r="A7" s="21" t="s">
        <v>19</v>
      </c>
      <c r="B7" s="22">
        <v>0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0</v>
      </c>
      <c r="AU7" s="22">
        <v>0</v>
      </c>
      <c r="AV7" s="22">
        <v>0</v>
      </c>
      <c r="AW7" s="22">
        <v>0</v>
      </c>
      <c r="AX7" s="22">
        <v>0</v>
      </c>
      <c r="AY7" s="22">
        <v>0</v>
      </c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</row>
    <row r="8" spans="1:113" ht="15">
      <c r="A8" s="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</row>
    <row r="9" spans="1:113" ht="15">
      <c r="A9" s="15" t="s">
        <v>20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Z9" s="18"/>
      <c r="DA9" s="18"/>
      <c r="DB9" s="18"/>
      <c r="DC9" s="18"/>
      <c r="DF9" s="18"/>
      <c r="DG9" s="18"/>
      <c r="DH9" s="18"/>
      <c r="DI9" s="18"/>
    </row>
    <row r="10" spans="1:113">
      <c r="A10" s="5">
        <v>0</v>
      </c>
      <c r="B10" s="23">
        <f ca="1">RAND()*1000</f>
        <v>985.67267246872257</v>
      </c>
      <c r="C10" s="10">
        <f ca="1">SUM(B10:B13)*C$3-SUM(C11:C13)</f>
        <v>2718.0943728089901</v>
      </c>
      <c r="D10" s="10">
        <f t="shared" ref="D10:AY10" ca="1" si="4">SUM(C10:C13)*D$3-SUM(D11:D13)</f>
        <v>2361.7001928004538</v>
      </c>
      <c r="E10" s="10">
        <f t="shared" ca="1" si="4"/>
        <v>4082.7336459244571</v>
      </c>
      <c r="F10" s="10">
        <f t="shared" ca="1" si="4"/>
        <v>3236.3773223089152</v>
      </c>
      <c r="G10" s="10">
        <f t="shared" ca="1" si="4"/>
        <v>6482.3754204681072</v>
      </c>
      <c r="H10" s="10">
        <f t="shared" ca="1" si="4"/>
        <v>13294.425795470899</v>
      </c>
      <c r="I10" s="10">
        <f t="shared" ca="1" si="4"/>
        <v>14315.980496518478</v>
      </c>
      <c r="J10" s="10">
        <f t="shared" ca="1" si="4"/>
        <v>29210.9936463222</v>
      </c>
      <c r="K10" s="10">
        <f t="shared" ca="1" si="4"/>
        <v>26628.416292861377</v>
      </c>
      <c r="L10" s="10">
        <f t="shared" ca="1" si="4"/>
        <v>57146.885121853767</v>
      </c>
      <c r="M10" s="10">
        <f t="shared" ca="1" si="4"/>
        <v>71164.704541320461</v>
      </c>
      <c r="N10" s="10">
        <f t="shared" ca="1" si="4"/>
        <v>62031.338149045863</v>
      </c>
      <c r="O10" s="10">
        <f t="shared" ca="1" si="4"/>
        <v>119259.95428876585</v>
      </c>
      <c r="P10" s="10">
        <f t="shared" ca="1" si="4"/>
        <v>149082.15738749359</v>
      </c>
      <c r="Q10" s="10">
        <f t="shared" ca="1" si="4"/>
        <v>337890.48396962002</v>
      </c>
      <c r="R10" s="10">
        <f t="shared" ca="1" si="4"/>
        <v>557252.2304408428</v>
      </c>
      <c r="S10" s="10">
        <f t="shared" ca="1" si="4"/>
        <v>860750.62674635637</v>
      </c>
      <c r="T10" s="10">
        <f t="shared" ca="1" si="4"/>
        <v>1843872.7704313111</v>
      </c>
      <c r="U10" s="10">
        <f t="shared" ca="1" si="4"/>
        <v>2414705.212459485</v>
      </c>
      <c r="V10" s="10">
        <f t="shared" ca="1" si="4"/>
        <v>3445754.7840945916</v>
      </c>
      <c r="W10" s="10">
        <f t="shared" ca="1" si="4"/>
        <v>5486339.6339228461</v>
      </c>
      <c r="X10" s="10">
        <f t="shared" ca="1" si="4"/>
        <v>8250222.6786166942</v>
      </c>
      <c r="Y10" s="10">
        <f t="shared" ca="1" si="4"/>
        <v>10093352.194771476</v>
      </c>
      <c r="Z10" s="10">
        <f t="shared" ca="1" si="4"/>
        <v>21596961.140699491</v>
      </c>
      <c r="AA10" s="10">
        <f t="shared" ca="1" si="4"/>
        <v>33319267.973843906</v>
      </c>
      <c r="AB10" s="10">
        <f t="shared" ca="1" si="4"/>
        <v>28471614.532778852</v>
      </c>
      <c r="AC10" s="10">
        <f t="shared" ca="1" si="4"/>
        <v>55437404.539910592</v>
      </c>
      <c r="AD10" s="10">
        <f t="shared" ca="1" si="4"/>
        <v>35309993.913298585</v>
      </c>
      <c r="AE10" s="10">
        <f t="shared" ca="1" si="4"/>
        <v>118724328.34309599</v>
      </c>
      <c r="AF10" s="10">
        <f t="shared" ca="1" si="4"/>
        <v>236794771.0218631</v>
      </c>
      <c r="AG10" s="10">
        <f t="shared" ca="1" si="4"/>
        <v>498084012.13314372</v>
      </c>
      <c r="AH10" s="10">
        <f t="shared" ca="1" si="4"/>
        <v>665089694.63743877</v>
      </c>
      <c r="AI10" s="10">
        <f t="shared" ca="1" si="4"/>
        <v>410268098.32501286</v>
      </c>
      <c r="AJ10" s="10">
        <f t="shared" ca="1" si="4"/>
        <v>1030405260.1216719</v>
      </c>
      <c r="AK10" s="10">
        <f t="shared" ca="1" si="4"/>
        <v>1447097668.2306638</v>
      </c>
      <c r="AL10" s="10">
        <f t="shared" ca="1" si="4"/>
        <v>2682901583.8189745</v>
      </c>
      <c r="AM10" s="10">
        <f t="shared" ca="1" si="4"/>
        <v>1652812468.4271932</v>
      </c>
      <c r="AN10" s="10">
        <f t="shared" ca="1" si="4"/>
        <v>3996615562.4287834</v>
      </c>
      <c r="AO10" s="10">
        <f t="shared" ca="1" si="4"/>
        <v>9740768200.5385857</v>
      </c>
      <c r="AP10" s="10">
        <f t="shared" ca="1" si="4"/>
        <v>6498567896.6913109</v>
      </c>
      <c r="AQ10" s="10">
        <f t="shared" ca="1" si="4"/>
        <v>19758281284.26495</v>
      </c>
      <c r="AR10" s="10">
        <f t="shared" ca="1" si="4"/>
        <v>5358708799.8472996</v>
      </c>
      <c r="AS10" s="10">
        <f t="shared" ca="1" si="4"/>
        <v>39522681541.572906</v>
      </c>
      <c r="AT10" s="10">
        <f t="shared" ca="1" si="4"/>
        <v>61368010429.373917</v>
      </c>
      <c r="AU10" s="10">
        <f t="shared" ca="1" si="4"/>
        <v>30457431009.3992</v>
      </c>
      <c r="AV10" s="10">
        <f t="shared" ca="1" si="4"/>
        <v>104236520026.82404</v>
      </c>
      <c r="AW10" s="10">
        <f t="shared" ca="1" si="4"/>
        <v>163526778340.39954</v>
      </c>
      <c r="AX10" s="10">
        <f t="shared" ca="1" si="4"/>
        <v>279407560373.98138</v>
      </c>
      <c r="AY10" s="10">
        <f t="shared" ca="1" si="4"/>
        <v>438406899812.76086</v>
      </c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Z10" s="18"/>
      <c r="DA10" s="18"/>
      <c r="DB10" s="18"/>
      <c r="DC10" s="18"/>
      <c r="DF10" s="18"/>
      <c r="DG10" s="18"/>
      <c r="DH10" s="18"/>
      <c r="DI10" s="18"/>
    </row>
    <row r="11" spans="1:113">
      <c r="A11" s="5">
        <f>A10+1</f>
        <v>1</v>
      </c>
      <c r="B11" s="23">
        <f t="shared" ref="B11:B13" ca="1" si="5">RAND()*1000</f>
        <v>803.98836119281668</v>
      </c>
      <c r="C11" s="10">
        <f ca="1">B10*C4</f>
        <v>266.60684687504187</v>
      </c>
      <c r="D11" s="10">
        <f t="shared" ref="D11:AY11" ca="1" si="6">C10*D4</f>
        <v>1305.0502757275915</v>
      </c>
      <c r="E11" s="10">
        <f t="shared" ca="1" si="6"/>
        <v>82.740859553153868</v>
      </c>
      <c r="F11" s="10">
        <f t="shared" ca="1" si="6"/>
        <v>2189.8209639188599</v>
      </c>
      <c r="G11" s="10">
        <f t="shared" ca="1" si="6"/>
        <v>1398.5256374934572</v>
      </c>
      <c r="H11" s="10">
        <f t="shared" ca="1" si="6"/>
        <v>4773.6256305682127</v>
      </c>
      <c r="I11" s="10">
        <f t="shared" ca="1" si="6"/>
        <v>5630.4497294627854</v>
      </c>
      <c r="J11" s="10">
        <f t="shared" ca="1" si="6"/>
        <v>4299.7480487267767</v>
      </c>
      <c r="K11" s="10">
        <f t="shared" ca="1" si="6"/>
        <v>25182.938398184408</v>
      </c>
      <c r="L11" s="10">
        <f t="shared" ca="1" si="6"/>
        <v>6468.0138152487489</v>
      </c>
      <c r="M11" s="10">
        <f t="shared" ca="1" si="6"/>
        <v>35688.604860143358</v>
      </c>
      <c r="N11" s="10">
        <f t="shared" ca="1" si="6"/>
        <v>32510.510346526735</v>
      </c>
      <c r="O11" s="10">
        <f t="shared" ca="1" si="6"/>
        <v>50665.909353797688</v>
      </c>
      <c r="P11" s="10">
        <f t="shared" ca="1" si="6"/>
        <v>23639.492470532827</v>
      </c>
      <c r="Q11" s="10">
        <f t="shared" ca="1" si="6"/>
        <v>30973.535770055983</v>
      </c>
      <c r="R11" s="10">
        <f t="shared" ca="1" si="6"/>
        <v>194492.73858007169</v>
      </c>
      <c r="S11" s="10">
        <f t="shared" ca="1" si="6"/>
        <v>381839.9895651273</v>
      </c>
      <c r="T11" s="10">
        <f t="shared" ca="1" si="6"/>
        <v>8591.4790937790494</v>
      </c>
      <c r="U11" s="10">
        <f t="shared" ca="1" si="6"/>
        <v>44765.658211398353</v>
      </c>
      <c r="V11" s="10">
        <f t="shared" ca="1" si="6"/>
        <v>1678583.4181471134</v>
      </c>
      <c r="W11" s="10">
        <f t="shared" ca="1" si="6"/>
        <v>1259712.3494278435</v>
      </c>
      <c r="X11" s="10">
        <f t="shared" ca="1" si="6"/>
        <v>5142308.6247557793</v>
      </c>
      <c r="Y11" s="10">
        <f t="shared" ca="1" si="6"/>
        <v>4882831.5208904287</v>
      </c>
      <c r="Z11" s="10">
        <f t="shared" ca="1" si="6"/>
        <v>3568929.3024005643</v>
      </c>
      <c r="AA11" s="10">
        <f t="shared" ca="1" si="6"/>
        <v>13231218.216454921</v>
      </c>
      <c r="AB11" s="10">
        <f t="shared" ca="1" si="6"/>
        <v>22714543.360514689</v>
      </c>
      <c r="AC11" s="10">
        <f t="shared" ca="1" si="6"/>
        <v>16412482.150346624</v>
      </c>
      <c r="AD11" s="10">
        <f t="shared" ca="1" si="6"/>
        <v>39491223.767803021</v>
      </c>
      <c r="AE11" s="10">
        <f t="shared" ca="1" si="6"/>
        <v>11744134.398965506</v>
      </c>
      <c r="AF11" s="10">
        <f t="shared" ca="1" si="6"/>
        <v>47264763.1521786</v>
      </c>
      <c r="AG11" s="10">
        <f t="shared" ca="1" si="6"/>
        <v>3755458.8481405098</v>
      </c>
      <c r="AH11" s="10">
        <f t="shared" ca="1" si="6"/>
        <v>61931015.35065753</v>
      </c>
      <c r="AI11" s="10">
        <f t="shared" ca="1" si="6"/>
        <v>397165223.73767954</v>
      </c>
      <c r="AJ11" s="10">
        <f t="shared" ca="1" si="6"/>
        <v>309960229.12748659</v>
      </c>
      <c r="AK11" s="10">
        <f t="shared" ca="1" si="6"/>
        <v>91205189.193026751</v>
      </c>
      <c r="AL11" s="10">
        <f t="shared" ca="1" si="6"/>
        <v>455131153.45387721</v>
      </c>
      <c r="AM11" s="10">
        <f t="shared" ca="1" si="6"/>
        <v>2635431732.2511716</v>
      </c>
      <c r="AN11" s="10">
        <f t="shared" ca="1" si="6"/>
        <v>1330828982.3676624</v>
      </c>
      <c r="AO11" s="10">
        <f t="shared" ca="1" si="6"/>
        <v>1093290254.4691086</v>
      </c>
      <c r="AP11" s="10">
        <f t="shared" ca="1" si="6"/>
        <v>8797194796.8566265</v>
      </c>
      <c r="AQ11" s="10">
        <f t="shared" ca="1" si="6"/>
        <v>77180293.67755118</v>
      </c>
      <c r="AR11" s="10">
        <f t="shared" ca="1" si="6"/>
        <v>15453710036.488688</v>
      </c>
      <c r="AS11" s="10">
        <f t="shared" ca="1" si="6"/>
        <v>3332364325.4826956</v>
      </c>
      <c r="AT11" s="10">
        <f t="shared" ca="1" si="6"/>
        <v>17871491688.151665</v>
      </c>
      <c r="AU11" s="10">
        <f t="shared" ca="1" si="6"/>
        <v>58812526704.577316</v>
      </c>
      <c r="AV11" s="10">
        <f t="shared" ca="1" si="6"/>
        <v>26732252783.789825</v>
      </c>
      <c r="AW11" s="10">
        <f t="shared" ca="1" si="6"/>
        <v>103805076371.07648</v>
      </c>
      <c r="AX11" s="10">
        <f t="shared" ca="1" si="6"/>
        <v>27603886968.539577</v>
      </c>
      <c r="AY11" s="10">
        <f t="shared" ca="1" si="6"/>
        <v>110473739380.12125</v>
      </c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Z11" s="18"/>
      <c r="DA11" s="18"/>
      <c r="DB11" s="18"/>
      <c r="DC11" s="18"/>
      <c r="DF11" s="18"/>
      <c r="DG11" s="18"/>
      <c r="DH11" s="18"/>
      <c r="DI11" s="18"/>
    </row>
    <row r="12" spans="1:113">
      <c r="A12" s="5">
        <f t="shared" ref="A12:A13" si="7">A11+1</f>
        <v>2</v>
      </c>
      <c r="B12" s="23">
        <f t="shared" ca="1" si="5"/>
        <v>286.5052407248798</v>
      </c>
      <c r="C12" s="10">
        <f ca="1">B11*C5</f>
        <v>100.65495747016857</v>
      </c>
      <c r="D12" s="10">
        <f t="shared" ref="D12:AY12" ca="1" si="8">C11*D5</f>
        <v>1.349231799346992</v>
      </c>
      <c r="E12" s="10">
        <f t="shared" ca="1" si="8"/>
        <v>642.8863597282234</v>
      </c>
      <c r="F12" s="10">
        <f t="shared" ca="1" si="8"/>
        <v>26.322046474956831</v>
      </c>
      <c r="G12" s="10">
        <f t="shared" ca="1" si="8"/>
        <v>1980.5174971418705</v>
      </c>
      <c r="H12" s="10">
        <f t="shared" ca="1" si="8"/>
        <v>196.83761186765361</v>
      </c>
      <c r="I12" s="10">
        <f t="shared" ca="1" si="8"/>
        <v>3821.3834136898759</v>
      </c>
      <c r="J12" s="10">
        <f t="shared" ca="1" si="8"/>
        <v>4343.1924348032844</v>
      </c>
      <c r="K12" s="10">
        <f t="shared" ca="1" si="8"/>
        <v>2767.083777573489</v>
      </c>
      <c r="L12" s="10">
        <f t="shared" ca="1" si="8"/>
        <v>5736.0383634255049</v>
      </c>
      <c r="M12" s="10">
        <f t="shared" ca="1" si="8"/>
        <v>5092.6269859143258</v>
      </c>
      <c r="N12" s="10">
        <f t="shared" ca="1" si="8"/>
        <v>21590.77676392152</v>
      </c>
      <c r="O12" s="10">
        <f t="shared" ca="1" si="8"/>
        <v>23508.929078891331</v>
      </c>
      <c r="P12" s="10">
        <f t="shared" ca="1" si="8"/>
        <v>34030.328650269017</v>
      </c>
      <c r="Q12" s="10">
        <f t="shared" ca="1" si="8"/>
        <v>21814.205134141601</v>
      </c>
      <c r="R12" s="10">
        <f t="shared" ca="1" si="8"/>
        <v>27704.374950698795</v>
      </c>
      <c r="S12" s="10">
        <f t="shared" ca="1" si="8"/>
        <v>179311.21826603208</v>
      </c>
      <c r="T12" s="10">
        <f t="shared" ca="1" si="8"/>
        <v>357612.53099231061</v>
      </c>
      <c r="U12" s="10">
        <f t="shared" ca="1" si="8"/>
        <v>1053.6602827112438</v>
      </c>
      <c r="V12" s="10">
        <f t="shared" ca="1" si="8"/>
        <v>42490.974877057153</v>
      </c>
      <c r="W12" s="10">
        <f t="shared" ca="1" si="8"/>
        <v>754904.33217668289</v>
      </c>
      <c r="X12" s="10">
        <f t="shared" ca="1" si="8"/>
        <v>159030.29364008366</v>
      </c>
      <c r="Y12" s="10">
        <f t="shared" ca="1" si="8"/>
        <v>1680250.0627548399</v>
      </c>
      <c r="Z12" s="10">
        <f t="shared" ca="1" si="8"/>
        <v>3219066.087945913</v>
      </c>
      <c r="AA12" s="10">
        <f t="shared" ca="1" si="8"/>
        <v>888868.21096037771</v>
      </c>
      <c r="AB12" s="10">
        <f t="shared" ca="1" si="8"/>
        <v>11048743.376165975</v>
      </c>
      <c r="AC12" s="10">
        <f t="shared" ca="1" si="8"/>
        <v>11170215.454707699</v>
      </c>
      <c r="AD12" s="10">
        <f t="shared" ca="1" si="8"/>
        <v>11511232.787615577</v>
      </c>
      <c r="AE12" s="10">
        <f t="shared" ca="1" si="8"/>
        <v>15087631.476566078</v>
      </c>
      <c r="AF12" s="10">
        <f t="shared" ca="1" si="8"/>
        <v>5367425.0384418527</v>
      </c>
      <c r="AG12" s="10">
        <f t="shared" ca="1" si="8"/>
        <v>13096002.91810431</v>
      </c>
      <c r="AH12" s="10">
        <f t="shared" ca="1" si="8"/>
        <v>3178049.8166148355</v>
      </c>
      <c r="AI12" s="10">
        <f t="shared" ca="1" si="8"/>
        <v>38910914.450787514</v>
      </c>
      <c r="AJ12" s="10">
        <f t="shared" ca="1" si="8"/>
        <v>282024617.39672041</v>
      </c>
      <c r="AK12" s="10">
        <f t="shared" ca="1" si="8"/>
        <v>150813774.3266739</v>
      </c>
      <c r="AL12" s="10">
        <f t="shared" ca="1" si="8"/>
        <v>22912824.985375226</v>
      </c>
      <c r="AM12" s="10">
        <f t="shared" ca="1" si="8"/>
        <v>1506478.0826434924</v>
      </c>
      <c r="AN12" s="10">
        <f t="shared" ca="1" si="8"/>
        <v>965443969.22787809</v>
      </c>
      <c r="AO12" s="10">
        <f t="shared" ca="1" si="8"/>
        <v>783848670.1654073</v>
      </c>
      <c r="AP12" s="10">
        <f t="shared" ca="1" si="8"/>
        <v>881747625.84809208</v>
      </c>
      <c r="AQ12" s="10">
        <f t="shared" ca="1" si="8"/>
        <v>1633531106.7390974</v>
      </c>
      <c r="AR12" s="10">
        <f t="shared" ca="1" si="8"/>
        <v>74300587.088904738</v>
      </c>
      <c r="AS12" s="10">
        <f t="shared" ca="1" si="8"/>
        <v>146700982.68124145</v>
      </c>
      <c r="AT12" s="10">
        <f t="shared" ca="1" si="8"/>
        <v>52122049.152139984</v>
      </c>
      <c r="AU12" s="10">
        <f t="shared" ca="1" si="8"/>
        <v>13644133682.40402</v>
      </c>
      <c r="AV12" s="10">
        <f t="shared" ca="1" si="8"/>
        <v>31822564584.994747</v>
      </c>
      <c r="AW12" s="10">
        <f t="shared" ca="1" si="8"/>
        <v>14464636402.874254</v>
      </c>
      <c r="AX12" s="10">
        <f t="shared" ca="1" si="8"/>
        <v>54806517609.520828</v>
      </c>
      <c r="AY12" s="10">
        <f t="shared" ca="1" si="8"/>
        <v>16878476472.149998</v>
      </c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Z12" s="18"/>
      <c r="DA12" s="18"/>
      <c r="DB12" s="18"/>
      <c r="DC12" s="18"/>
      <c r="DF12" s="18"/>
      <c r="DG12" s="18"/>
      <c r="DH12" s="18"/>
      <c r="DI12" s="18"/>
    </row>
    <row r="13" spans="1:113">
      <c r="A13" s="5">
        <f t="shared" si="7"/>
        <v>3</v>
      </c>
      <c r="B13" s="23">
        <f t="shared" ca="1" si="5"/>
        <v>357.44183423717726</v>
      </c>
      <c r="C13" s="10">
        <f ca="1">B12*C6</f>
        <v>196.55124610745315</v>
      </c>
      <c r="D13" s="10">
        <f t="shared" ref="D13:AY13" ca="1" si="9">C12*D6</f>
        <v>55.553730591871854</v>
      </c>
      <c r="E13" s="10">
        <f t="shared" ca="1" si="9"/>
        <v>0.95123808616576988</v>
      </c>
      <c r="F13" s="10">
        <f t="shared" ca="1" si="9"/>
        <v>300.07556521303752</v>
      </c>
      <c r="G13" s="10">
        <f t="shared" ca="1" si="9"/>
        <v>25.902251832116111</v>
      </c>
      <c r="H13" s="10">
        <f t="shared" ca="1" si="9"/>
        <v>497.92570857315388</v>
      </c>
      <c r="I13" s="10">
        <f t="shared" ca="1" si="9"/>
        <v>180.4472820974776</v>
      </c>
      <c r="J13" s="10">
        <f t="shared" ca="1" si="9"/>
        <v>3351.2316538956593</v>
      </c>
      <c r="K13" s="10">
        <f t="shared" ca="1" si="9"/>
        <v>1069.1970735432583</v>
      </c>
      <c r="L13" s="10">
        <f t="shared" ca="1" si="9"/>
        <v>2603.9825372954965</v>
      </c>
      <c r="M13" s="10">
        <f t="shared" ca="1" si="9"/>
        <v>1554.8523146574819</v>
      </c>
      <c r="N13" s="10">
        <f t="shared" ca="1" si="9"/>
        <v>4573.3524099623055</v>
      </c>
      <c r="O13" s="10">
        <f t="shared" ca="1" si="9"/>
        <v>17816.115881080626</v>
      </c>
      <c r="P13" s="10">
        <f t="shared" ca="1" si="9"/>
        <v>19713.854468227782</v>
      </c>
      <c r="Q13" s="10">
        <f t="shared" ca="1" si="9"/>
        <v>28032.085685275237</v>
      </c>
      <c r="R13" s="10">
        <f t="shared" ca="1" si="9"/>
        <v>14262.777847835137</v>
      </c>
      <c r="S13" s="10">
        <f t="shared" ca="1" si="9"/>
        <v>16230.831587365845</v>
      </c>
      <c r="T13" s="10">
        <f t="shared" ca="1" si="9"/>
        <v>152703.55859805035</v>
      </c>
      <c r="U13" s="10">
        <f t="shared" ca="1" si="9"/>
        <v>129007.00968450059</v>
      </c>
      <c r="V13" s="10">
        <f t="shared" ca="1" si="9"/>
        <v>681.4531249203676</v>
      </c>
      <c r="W13" s="10">
        <f t="shared" ca="1" si="9"/>
        <v>31812.646745740261</v>
      </c>
      <c r="X13" s="10">
        <f t="shared" ca="1" si="9"/>
        <v>25675.612873943202</v>
      </c>
      <c r="Y13" s="10">
        <f t="shared" ca="1" si="9"/>
        <v>127075.33512197589</v>
      </c>
      <c r="Z13" s="10">
        <f t="shared" ca="1" si="9"/>
        <v>1551258.2039768542</v>
      </c>
      <c r="AA13" s="10">
        <f t="shared" ca="1" si="9"/>
        <v>248657.11063265987</v>
      </c>
      <c r="AB13" s="10">
        <f t="shared" ca="1" si="9"/>
        <v>659490.26111225365</v>
      </c>
      <c r="AC13" s="10">
        <f t="shared" ca="1" si="9"/>
        <v>5949799.4729769556</v>
      </c>
      <c r="AD13" s="10">
        <f t="shared" ca="1" si="9"/>
        <v>4847115.2809914425</v>
      </c>
      <c r="AE13" s="10">
        <f t="shared" ca="1" si="9"/>
        <v>5264378.0075154034</v>
      </c>
      <c r="AF13" s="10">
        <f t="shared" ca="1" si="9"/>
        <v>305623.09710982483</v>
      </c>
      <c r="AG13" s="10">
        <f t="shared" ca="1" si="9"/>
        <v>1840853.0935446192</v>
      </c>
      <c r="AH13" s="10">
        <f t="shared" ca="1" si="9"/>
        <v>9437804.6571149901</v>
      </c>
      <c r="AI13" s="10">
        <f t="shared" ca="1" si="9"/>
        <v>1094824.0033878654</v>
      </c>
      <c r="AJ13" s="10">
        <f t="shared" ca="1" si="9"/>
        <v>7923013.1131185256</v>
      </c>
      <c r="AK13" s="10">
        <f t="shared" ca="1" si="9"/>
        <v>231785518.15269694</v>
      </c>
      <c r="AL13" s="10">
        <f t="shared" ca="1" si="9"/>
        <v>21749502.506519668</v>
      </c>
      <c r="AM13" s="10">
        <f t="shared" ca="1" si="9"/>
        <v>20128915.939272001</v>
      </c>
      <c r="AN13" s="10">
        <f t="shared" ca="1" si="9"/>
        <v>904125.75803318992</v>
      </c>
      <c r="AO13" s="10">
        <f t="shared" ca="1" si="9"/>
        <v>816029392.24642265</v>
      </c>
      <c r="AP13" s="10">
        <f t="shared" ca="1" si="9"/>
        <v>141704927.4796347</v>
      </c>
      <c r="AQ13" s="10">
        <f t="shared" ca="1" si="9"/>
        <v>192707727.26241198</v>
      </c>
      <c r="AR13" s="10">
        <f t="shared" ca="1" si="9"/>
        <v>1087025247.807663</v>
      </c>
      <c r="AS13" s="10">
        <f t="shared" ca="1" si="9"/>
        <v>59328745.061566323</v>
      </c>
      <c r="AT13" s="10">
        <f t="shared" ca="1" si="9"/>
        <v>141759451.03607231</v>
      </c>
      <c r="AU13" s="10">
        <f t="shared" ca="1" si="9"/>
        <v>10981219.702178411</v>
      </c>
      <c r="AV13" s="10">
        <f t="shared" ca="1" si="9"/>
        <v>9988243573.9572773</v>
      </c>
      <c r="AW13" s="10">
        <f t="shared" ca="1" si="9"/>
        <v>13648603140.085514</v>
      </c>
      <c r="AX13" s="10">
        <f t="shared" ca="1" si="9"/>
        <v>12601852292.484125</v>
      </c>
      <c r="AY13" s="10">
        <f t="shared" ca="1" si="9"/>
        <v>48925838548.435753</v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Z13" s="18"/>
      <c r="DA13" s="18"/>
      <c r="DB13" s="18"/>
      <c r="DC13" s="18"/>
      <c r="DF13" s="18"/>
      <c r="DG13" s="18"/>
      <c r="DH13" s="18"/>
      <c r="DI13" s="18"/>
    </row>
    <row r="14" spans="1:113" ht="15">
      <c r="A14" s="8" t="s">
        <v>2</v>
      </c>
      <c r="B14" s="11">
        <f t="shared" ref="B14:AG14" ca="1" si="10">SUM(B10:B13)</f>
        <v>2433.6081086235963</v>
      </c>
      <c r="C14" s="11">
        <f t="shared" ca="1" si="10"/>
        <v>3281.9074232616535</v>
      </c>
      <c r="D14" s="11">
        <f t="shared" ca="1" si="10"/>
        <v>3723.6534309192643</v>
      </c>
      <c r="E14" s="11">
        <f t="shared" ca="1" si="10"/>
        <v>4809.3121032920008</v>
      </c>
      <c r="F14" s="11">
        <f t="shared" ca="1" si="10"/>
        <v>5752.5958979157685</v>
      </c>
      <c r="G14" s="11">
        <f t="shared" ca="1" si="10"/>
        <v>9887.3208069355514</v>
      </c>
      <c r="H14" s="11">
        <f t="shared" ca="1" si="10"/>
        <v>18762.814746479922</v>
      </c>
      <c r="I14" s="11">
        <f t="shared" ca="1" si="10"/>
        <v>23948.260921768615</v>
      </c>
      <c r="J14" s="11">
        <f t="shared" ca="1" si="10"/>
        <v>41205.165783747922</v>
      </c>
      <c r="K14" s="11">
        <f t="shared" ca="1" si="10"/>
        <v>55647.635542162527</v>
      </c>
      <c r="L14" s="11">
        <f t="shared" ca="1" si="10"/>
        <v>71954.919837823516</v>
      </c>
      <c r="M14" s="11">
        <f t="shared" ca="1" si="10"/>
        <v>113500.78870203563</v>
      </c>
      <c r="N14" s="11">
        <f t="shared" ca="1" si="10"/>
        <v>120705.97766945642</v>
      </c>
      <c r="O14" s="11">
        <f t="shared" ca="1" si="10"/>
        <v>211250.90860253546</v>
      </c>
      <c r="P14" s="11">
        <f t="shared" ca="1" si="10"/>
        <v>226465.8329765232</v>
      </c>
      <c r="Q14" s="11">
        <f t="shared" ca="1" si="10"/>
        <v>418710.3105590929</v>
      </c>
      <c r="R14" s="11">
        <f t="shared" ca="1" si="10"/>
        <v>793712.12181944842</v>
      </c>
      <c r="S14" s="11">
        <f t="shared" ca="1" si="10"/>
        <v>1438132.6661648815</v>
      </c>
      <c r="T14" s="11">
        <f t="shared" ca="1" si="10"/>
        <v>2362780.3391154511</v>
      </c>
      <c r="U14" s="11">
        <f t="shared" ca="1" si="10"/>
        <v>2589531.5406380952</v>
      </c>
      <c r="V14" s="11">
        <f t="shared" ca="1" si="10"/>
        <v>5167510.6302436823</v>
      </c>
      <c r="W14" s="11">
        <f t="shared" ca="1" si="10"/>
        <v>7532768.9622731125</v>
      </c>
      <c r="X14" s="11">
        <f t="shared" ca="1" si="10"/>
        <v>13577237.209886501</v>
      </c>
      <c r="Y14" s="11">
        <f t="shared" ca="1" si="10"/>
        <v>16783509.11353872</v>
      </c>
      <c r="Z14" s="11">
        <f t="shared" ca="1" si="10"/>
        <v>29936214.735022821</v>
      </c>
      <c r="AA14" s="11">
        <f t="shared" ca="1" si="10"/>
        <v>47688011.511891864</v>
      </c>
      <c r="AB14" s="11">
        <f t="shared" ca="1" si="10"/>
        <v>62894391.530571766</v>
      </c>
      <c r="AC14" s="11">
        <f t="shared" ca="1" si="10"/>
        <v>88969901.617941871</v>
      </c>
      <c r="AD14" s="11">
        <f t="shared" ca="1" si="10"/>
        <v>91159565.749708623</v>
      </c>
      <c r="AE14" s="11">
        <f t="shared" ca="1" si="10"/>
        <v>150820472.22614297</v>
      </c>
      <c r="AF14" s="11">
        <f t="shared" ca="1" si="10"/>
        <v>289732582.30959338</v>
      </c>
      <c r="AG14" s="11">
        <f t="shared" ca="1" si="10"/>
        <v>516776326.99293315</v>
      </c>
      <c r="AH14" s="11">
        <f t="shared" ref="AH14:AY14" ca="1" si="11">SUM(AH10:AH13)</f>
        <v>739636564.46182621</v>
      </c>
      <c r="AI14" s="11">
        <f t="shared" ca="1" si="11"/>
        <v>847439060.51686776</v>
      </c>
      <c r="AJ14" s="11">
        <f t="shared" ca="1" si="11"/>
        <v>1630313119.7589972</v>
      </c>
      <c r="AK14" s="11">
        <f t="shared" ca="1" si="11"/>
        <v>1920902149.9030614</v>
      </c>
      <c r="AL14" s="11">
        <f t="shared" ca="1" si="11"/>
        <v>3182695064.7647471</v>
      </c>
      <c r="AM14" s="11">
        <f t="shared" ca="1" si="11"/>
        <v>4309879594.7002802</v>
      </c>
      <c r="AN14" s="11">
        <f t="shared" ca="1" si="11"/>
        <v>6293792639.7823572</v>
      </c>
      <c r="AO14" s="11">
        <f t="shared" ca="1" si="11"/>
        <v>12433936517.419523</v>
      </c>
      <c r="AP14" s="11">
        <f t="shared" ca="1" si="11"/>
        <v>16319215246.875666</v>
      </c>
      <c r="AQ14" s="11">
        <f t="shared" ca="1" si="11"/>
        <v>21661700411.944012</v>
      </c>
      <c r="AR14" s="11">
        <f t="shared" ca="1" si="11"/>
        <v>21973744671.232555</v>
      </c>
      <c r="AS14" s="11">
        <f t="shared" ca="1" si="11"/>
        <v>43061075594.798416</v>
      </c>
      <c r="AT14" s="11">
        <f t="shared" ca="1" si="11"/>
        <v>79433383617.713791</v>
      </c>
      <c r="AU14" s="11">
        <f t="shared" ca="1" si="11"/>
        <v>102925072616.08272</v>
      </c>
      <c r="AV14" s="11">
        <f t="shared" ca="1" si="11"/>
        <v>172779580969.56589</v>
      </c>
      <c r="AW14" s="11">
        <f t="shared" ca="1" si="11"/>
        <v>295445094254.43579</v>
      </c>
      <c r="AX14" s="11">
        <f t="shared" ca="1" si="11"/>
        <v>374419817244.52588</v>
      </c>
      <c r="AY14" s="11">
        <f t="shared" ca="1" si="11"/>
        <v>614684954213.4679</v>
      </c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Z14" s="18"/>
      <c r="DA14" s="18"/>
      <c r="DB14" s="18"/>
      <c r="DC14" s="18"/>
      <c r="DF14" s="18"/>
      <c r="DG14" s="18"/>
      <c r="DH14" s="18"/>
      <c r="DI14" s="18"/>
    </row>
    <row r="15" spans="1:113">
      <c r="A15" s="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Z15" s="18"/>
      <c r="DA15" s="18"/>
      <c r="DB15" s="18"/>
      <c r="DC15" s="18"/>
      <c r="DF15" s="18"/>
      <c r="DG15" s="18"/>
      <c r="DH15" s="18"/>
      <c r="DI15" s="18"/>
    </row>
    <row r="16" spans="1:113">
      <c r="A16" s="5">
        <v>0</v>
      </c>
      <c r="B16" s="23">
        <f ca="1">RAND()*1000</f>
        <v>127.53050643327968</v>
      </c>
      <c r="C16" s="10">
        <f ca="1">SUM(B16:B19)*C$3-SUM(C17:C19)</f>
        <v>1510.4425278049421</v>
      </c>
      <c r="D16" s="10">
        <f t="shared" ref="D16:AY16" ca="1" si="12">SUM(C16:C19)*D$3-SUM(D17:D19)</f>
        <v>1767.0590500032695</v>
      </c>
      <c r="E16" s="10">
        <f t="shared" ca="1" si="12"/>
        <v>2829.1322039243696</v>
      </c>
      <c r="F16" s="10">
        <f t="shared" ca="1" si="12"/>
        <v>2181.6649602461307</v>
      </c>
      <c r="G16" s="10">
        <f t="shared" ca="1" si="12"/>
        <v>4343.7812324465976</v>
      </c>
      <c r="H16" s="10">
        <f t="shared" ca="1" si="12"/>
        <v>8996.7146266490054</v>
      </c>
      <c r="I16" s="10">
        <f t="shared" ca="1" si="12"/>
        <v>9683.0769310398282</v>
      </c>
      <c r="J16" s="10">
        <f t="shared" ca="1" si="12"/>
        <v>19738.661612232099</v>
      </c>
      <c r="K16" s="10">
        <f t="shared" ca="1" si="12"/>
        <v>17974.829134427193</v>
      </c>
      <c r="L16" s="10">
        <f t="shared" ca="1" si="12"/>
        <v>38598.071076482076</v>
      </c>
      <c r="M16" s="10">
        <f t="shared" ca="1" si="12"/>
        <v>48070.223046381769</v>
      </c>
      <c r="N16" s="10">
        <f t="shared" ca="1" si="12"/>
        <v>41899.881208392719</v>
      </c>
      <c r="O16" s="10">
        <f t="shared" ca="1" si="12"/>
        <v>80551.811684848188</v>
      </c>
      <c r="P16" s="10">
        <f t="shared" ca="1" si="12"/>
        <v>100695.335208934</v>
      </c>
      <c r="Q16" s="10">
        <f t="shared" ca="1" si="12"/>
        <v>228225.57111580268</v>
      </c>
      <c r="R16" s="10">
        <f t="shared" ca="1" si="12"/>
        <v>376392.35468886851</v>
      </c>
      <c r="S16" s="10">
        <f t="shared" ca="1" si="12"/>
        <v>581387.56597248127</v>
      </c>
      <c r="T16" s="10">
        <f t="shared" ca="1" si="12"/>
        <v>1245430.0963870715</v>
      </c>
      <c r="U16" s="10">
        <f t="shared" ca="1" si="12"/>
        <v>1630994.8247627849</v>
      </c>
      <c r="V16" s="10">
        <f t="shared" ca="1" si="12"/>
        <v>2327409.8544985899</v>
      </c>
      <c r="W16" s="10">
        <f t="shared" ca="1" si="12"/>
        <v>3705707.8556110747</v>
      </c>
      <c r="X16" s="10">
        <f t="shared" ca="1" si="12"/>
        <v>5572552.3606900759</v>
      </c>
      <c r="Y16" s="10">
        <f t="shared" ca="1" si="12"/>
        <v>6817480.6777194208</v>
      </c>
      <c r="Z16" s="10">
        <f t="shared" ca="1" si="12"/>
        <v>14587508.929919055</v>
      </c>
      <c r="AA16" s="10">
        <f t="shared" ca="1" si="12"/>
        <v>22505255.062769249</v>
      </c>
      <c r="AB16" s="10">
        <f t="shared" ca="1" si="12"/>
        <v>19230943.117283192</v>
      </c>
      <c r="AC16" s="10">
        <f t="shared" ca="1" si="12"/>
        <v>37444788.108774826</v>
      </c>
      <c r="AD16" s="10">
        <f t="shared" ca="1" si="12"/>
        <v>23849876.291811265</v>
      </c>
      <c r="AE16" s="10">
        <f t="shared" ca="1" si="12"/>
        <v>80191476.40580608</v>
      </c>
      <c r="AF16" s="10">
        <f t="shared" ca="1" si="12"/>
        <v>159941290.5377115</v>
      </c>
      <c r="AG16" s="10">
        <f t="shared" ca="1" si="12"/>
        <v>336427191.16222119</v>
      </c>
      <c r="AH16" s="10">
        <f t="shared" ca="1" si="12"/>
        <v>449229953.9580636</v>
      </c>
      <c r="AI16" s="10">
        <f t="shared" ca="1" si="12"/>
        <v>277112576.55477083</v>
      </c>
      <c r="AJ16" s="10">
        <f t="shared" ca="1" si="12"/>
        <v>695979672.05752254</v>
      </c>
      <c r="AK16" s="10">
        <f t="shared" ca="1" si="12"/>
        <v>977431501.51568246</v>
      </c>
      <c r="AL16" s="10">
        <f t="shared" ca="1" si="12"/>
        <v>1812146188.2370944</v>
      </c>
      <c r="AM16" s="10">
        <f t="shared" ca="1" si="12"/>
        <v>1116380053.8175731</v>
      </c>
      <c r="AN16" s="10">
        <f t="shared" ca="1" si="12"/>
        <v>2699484655.3391299</v>
      </c>
      <c r="AO16" s="10">
        <f t="shared" ca="1" si="12"/>
        <v>6579330405.3966827</v>
      </c>
      <c r="AP16" s="10">
        <f t="shared" ca="1" si="12"/>
        <v>4389410000.729907</v>
      </c>
      <c r="AQ16" s="10">
        <f t="shared" ca="1" si="12"/>
        <v>13345586111.448261</v>
      </c>
      <c r="AR16" s="10">
        <f t="shared" ca="1" si="12"/>
        <v>3619500537.8069363</v>
      </c>
      <c r="AS16" s="10">
        <f t="shared" ca="1" si="12"/>
        <v>26695305238.338715</v>
      </c>
      <c r="AT16" s="10">
        <f t="shared" ca="1" si="12"/>
        <v>41450572339.290016</v>
      </c>
      <c r="AU16" s="10">
        <f t="shared" ca="1" si="12"/>
        <v>20572248285.236061</v>
      </c>
      <c r="AV16" s="10">
        <f t="shared" ca="1" si="12"/>
        <v>70405792587.006012</v>
      </c>
      <c r="AW16" s="10">
        <f t="shared" ca="1" si="12"/>
        <v>110452962505.77708</v>
      </c>
      <c r="AX16" s="10">
        <f t="shared" ca="1" si="12"/>
        <v>188723786422.16342</v>
      </c>
      <c r="AY16" s="10">
        <f t="shared" ca="1" si="12"/>
        <v>296118723543.21191</v>
      </c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Z16" s="18"/>
      <c r="DA16" s="18"/>
      <c r="DB16" s="18"/>
      <c r="DC16" s="18"/>
      <c r="DF16" s="18"/>
      <c r="DG16" s="18"/>
      <c r="DH16" s="18"/>
      <c r="DI16" s="18"/>
    </row>
    <row r="17" spans="1:113">
      <c r="A17" s="5">
        <f>A16+1</f>
        <v>1</v>
      </c>
      <c r="B17" s="23">
        <f t="shared" ref="B17:B19" ca="1" si="13">RAND()*1000</f>
        <v>328.02167277231888</v>
      </c>
      <c r="C17" s="10">
        <f t="shared" ref="C17:AH17" ca="1" si="14">B16*C4</f>
        <v>34.494723400818287</v>
      </c>
      <c r="D17" s="10">
        <f t="shared" ca="1" si="14"/>
        <v>725.21523060488789</v>
      </c>
      <c r="E17" s="10">
        <f t="shared" ca="1" si="14"/>
        <v>61.907936123373766</v>
      </c>
      <c r="F17" s="10">
        <f t="shared" ca="1" si="14"/>
        <v>1517.4374688968342</v>
      </c>
      <c r="G17" s="10">
        <f t="shared" ca="1" si="14"/>
        <v>942.75607429748459</v>
      </c>
      <c r="H17" s="10">
        <f t="shared" ca="1" si="14"/>
        <v>3198.7634284980822</v>
      </c>
      <c r="I17" s="10">
        <f t="shared" ca="1" si="14"/>
        <v>3810.2848678825185</v>
      </c>
      <c r="J17" s="10">
        <f t="shared" ca="1" si="14"/>
        <v>2908.2738098193822</v>
      </c>
      <c r="K17" s="10">
        <f t="shared" ca="1" si="14"/>
        <v>17016.795301861723</v>
      </c>
      <c r="L17" s="10">
        <f t="shared" ca="1" si="14"/>
        <v>4366.0667570147052</v>
      </c>
      <c r="M17" s="10">
        <f t="shared" ca="1" si="14"/>
        <v>24104.748737836588</v>
      </c>
      <c r="N17" s="10">
        <f t="shared" ca="1" si="14"/>
        <v>21960.148556533935</v>
      </c>
      <c r="O17" s="10">
        <f t="shared" ca="1" si="14"/>
        <v>34222.953213398796</v>
      </c>
      <c r="P17" s="10">
        <f t="shared" ca="1" si="14"/>
        <v>15966.834443027459</v>
      </c>
      <c r="Q17" s="10">
        <f t="shared" ca="1" si="14"/>
        <v>20920.61599876832</v>
      </c>
      <c r="R17" s="10">
        <f t="shared" ca="1" si="14"/>
        <v>131368.64885577644</v>
      </c>
      <c r="S17" s="10">
        <f t="shared" ca="1" si="14"/>
        <v>257911.31005988599</v>
      </c>
      <c r="T17" s="10">
        <f t="shared" ca="1" si="14"/>
        <v>5803.0502252629403</v>
      </c>
      <c r="U17" s="10">
        <f t="shared" ca="1" si="14"/>
        <v>30236.629617352155</v>
      </c>
      <c r="V17" s="10">
        <f t="shared" ca="1" si="14"/>
        <v>1133786.7884676638</v>
      </c>
      <c r="W17" s="10">
        <f t="shared" ca="1" si="14"/>
        <v>850863.48843663093</v>
      </c>
      <c r="X17" s="10">
        <f t="shared" ca="1" si="14"/>
        <v>3473334.6344270553</v>
      </c>
      <c r="Y17" s="10">
        <f t="shared" ca="1" si="14"/>
        <v>3298072.7161599612</v>
      </c>
      <c r="Z17" s="10">
        <f t="shared" ca="1" si="14"/>
        <v>2410607.1094860253</v>
      </c>
      <c r="AA17" s="10">
        <f t="shared" ca="1" si="14"/>
        <v>8936929.2572608907</v>
      </c>
      <c r="AB17" s="10">
        <f t="shared" ca="1" si="14"/>
        <v>15342371.638056735</v>
      </c>
      <c r="AC17" s="10">
        <f t="shared" ca="1" si="14"/>
        <v>11085690.637015523</v>
      </c>
      <c r="AD17" s="10">
        <f t="shared" ca="1" si="14"/>
        <v>26674057.315887123</v>
      </c>
      <c r="AE17" s="10">
        <f t="shared" ca="1" si="14"/>
        <v>7932489.4039203348</v>
      </c>
      <c r="AF17" s="10">
        <f t="shared" ca="1" si="14"/>
        <v>31924637.452491857</v>
      </c>
      <c r="AG17" s="10">
        <f t="shared" ca="1" si="14"/>
        <v>2536597.1222286946</v>
      </c>
      <c r="AH17" s="10">
        <f t="shared" ca="1" si="14"/>
        <v>41830849.882161245</v>
      </c>
      <c r="AI17" s="10">
        <f t="shared" ref="AI17:AY17" ca="1" si="15">AH16*AI4</f>
        <v>268262336.06082761</v>
      </c>
      <c r="AJ17" s="10">
        <f t="shared" ca="1" si="15"/>
        <v>209360362.3428213</v>
      </c>
      <c r="AK17" s="10">
        <f t="shared" ca="1" si="15"/>
        <v>61603875.796413921</v>
      </c>
      <c r="AL17" s="10">
        <f t="shared" ca="1" si="15"/>
        <v>307414997.946136</v>
      </c>
      <c r="AM17" s="10">
        <f t="shared" ca="1" si="15"/>
        <v>1780083025.319159</v>
      </c>
      <c r="AN17" s="10">
        <f t="shared" ca="1" si="15"/>
        <v>898898670.80406952</v>
      </c>
      <c r="AO17" s="10">
        <f t="shared" ca="1" si="15"/>
        <v>738454880.05296767</v>
      </c>
      <c r="AP17" s="10">
        <f t="shared" ca="1" si="15"/>
        <v>5942000673.6179209</v>
      </c>
      <c r="AQ17" s="10">
        <f t="shared" ca="1" si="15"/>
        <v>52130863.032145768</v>
      </c>
      <c r="AR17" s="10">
        <f t="shared" ca="1" si="15"/>
        <v>10438095048.153605</v>
      </c>
      <c r="AS17" s="10">
        <f t="shared" ca="1" si="15"/>
        <v>2250821031.4762702</v>
      </c>
      <c r="AT17" s="10">
        <f t="shared" ca="1" si="15"/>
        <v>12071167923.608835</v>
      </c>
      <c r="AU17" s="10">
        <f t="shared" ca="1" si="15"/>
        <v>39724489608.964806</v>
      </c>
      <c r="AV17" s="10">
        <f t="shared" ca="1" si="15"/>
        <v>18056103987.30294</v>
      </c>
      <c r="AW17" s="10">
        <f t="shared" ca="1" si="15"/>
        <v>70114377135.571854</v>
      </c>
      <c r="AX17" s="10">
        <f t="shared" ca="1" si="15"/>
        <v>18644842901.528427</v>
      </c>
      <c r="AY17" s="10">
        <f t="shared" ca="1" si="15"/>
        <v>74618676631.819656</v>
      </c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Z17" s="18"/>
      <c r="DA17" s="18"/>
      <c r="DB17" s="18"/>
      <c r="DC17" s="18"/>
      <c r="DF17" s="18"/>
      <c r="DG17" s="18"/>
      <c r="DH17" s="18"/>
      <c r="DI17" s="18"/>
    </row>
    <row r="18" spans="1:113">
      <c r="A18" s="5">
        <f t="shared" ref="A18:A19" si="16">A17+1</f>
        <v>2</v>
      </c>
      <c r="B18" s="23">
        <f t="shared" ca="1" si="13"/>
        <v>919.40051100406561</v>
      </c>
      <c r="C18" s="10">
        <f t="shared" ref="C18:AH18" ca="1" si="17">B17*C5</f>
        <v>41.066524238244533</v>
      </c>
      <c r="D18" s="10">
        <f t="shared" ca="1" si="17"/>
        <v>0.1745693265855123</v>
      </c>
      <c r="E18" s="10">
        <f t="shared" ca="1" si="17"/>
        <v>357.25135521166601</v>
      </c>
      <c r="F18" s="10">
        <f t="shared" ca="1" si="17"/>
        <v>19.694544879138725</v>
      </c>
      <c r="G18" s="10">
        <f t="shared" ca="1" si="17"/>
        <v>1372.4005329598306</v>
      </c>
      <c r="H18" s="10">
        <f t="shared" ca="1" si="17"/>
        <v>132.68963347074089</v>
      </c>
      <c r="I18" s="10">
        <f t="shared" ca="1" si="17"/>
        <v>2560.6745178560063</v>
      </c>
      <c r="J18" s="10">
        <f t="shared" ca="1" si="17"/>
        <v>2939.1613827998335</v>
      </c>
      <c r="K18" s="10">
        <f t="shared" ca="1" si="17"/>
        <v>1871.606705484995</v>
      </c>
      <c r="L18" s="10">
        <f t="shared" ca="1" si="17"/>
        <v>3875.9968805338049</v>
      </c>
      <c r="M18" s="10">
        <f t="shared" ca="1" si="17"/>
        <v>3437.6471702420786</v>
      </c>
      <c r="N18" s="10">
        <f t="shared" ca="1" si="17"/>
        <v>14582.812945155802</v>
      </c>
      <c r="O18" s="10">
        <f t="shared" ca="1" si="17"/>
        <v>15879.774555204076</v>
      </c>
      <c r="P18" s="10">
        <f t="shared" ca="1" si="17"/>
        <v>22986.231967184587</v>
      </c>
      <c r="Q18" s="10">
        <f t="shared" ca="1" si="17"/>
        <v>14733.979687476256</v>
      </c>
      <c r="R18" s="10">
        <f t="shared" ca="1" si="17"/>
        <v>18712.509741616042</v>
      </c>
      <c r="S18" s="10">
        <f t="shared" ca="1" si="17"/>
        <v>121114.40581414827</v>
      </c>
      <c r="T18" s="10">
        <f t="shared" ca="1" si="17"/>
        <v>241547.03248106787</v>
      </c>
      <c r="U18" s="10">
        <f t="shared" ca="1" si="17"/>
        <v>711.68694868447812</v>
      </c>
      <c r="V18" s="10">
        <f t="shared" ca="1" si="17"/>
        <v>28700.211742014719</v>
      </c>
      <c r="W18" s="10">
        <f t="shared" ca="1" si="17"/>
        <v>509894.56295458018</v>
      </c>
      <c r="X18" s="10">
        <f t="shared" ca="1" si="17"/>
        <v>107415.84813006081</v>
      </c>
      <c r="Y18" s="10">
        <f t="shared" ca="1" si="17"/>
        <v>1134912.5778583132</v>
      </c>
      <c r="Z18" s="10">
        <f t="shared" ca="1" si="17"/>
        <v>2174294.5646902318</v>
      </c>
      <c r="AA18" s="10">
        <f t="shared" ca="1" si="17"/>
        <v>600379.51082302502</v>
      </c>
      <c r="AB18" s="10">
        <f t="shared" ca="1" si="17"/>
        <v>7462792.6407883968</v>
      </c>
      <c r="AC18" s="10">
        <f t="shared" ca="1" si="17"/>
        <v>7544840.0640622498</v>
      </c>
      <c r="AD18" s="10">
        <f t="shared" ca="1" si="17"/>
        <v>7775177.7193238884</v>
      </c>
      <c r="AE18" s="10">
        <f t="shared" ca="1" si="17"/>
        <v>10190829.971063601</v>
      </c>
      <c r="AF18" s="10">
        <f t="shared" ca="1" si="17"/>
        <v>3625387.8572376636</v>
      </c>
      <c r="AG18" s="10">
        <f t="shared" ca="1" si="17"/>
        <v>8845599.0753861312</v>
      </c>
      <c r="AH18" s="10">
        <f t="shared" ca="1" si="17"/>
        <v>2146590.428787733</v>
      </c>
      <c r="AI18" s="10">
        <f t="shared" ref="AI18:AY18" ca="1" si="18">AH17*AI5</f>
        <v>26282091.645882081</v>
      </c>
      <c r="AJ18" s="10">
        <f t="shared" ca="1" si="18"/>
        <v>190491458.38477325</v>
      </c>
      <c r="AK18" s="10">
        <f t="shared" ca="1" si="18"/>
        <v>101866057.22998859</v>
      </c>
      <c r="AL18" s="10">
        <f t="shared" ca="1" si="18"/>
        <v>15476299.507001573</v>
      </c>
      <c r="AM18" s="10">
        <f t="shared" ca="1" si="18"/>
        <v>1017539.566710148</v>
      </c>
      <c r="AN18" s="10">
        <f t="shared" ca="1" si="18"/>
        <v>652102044.79525816</v>
      </c>
      <c r="AO18" s="10">
        <f t="shared" ca="1" si="18"/>
        <v>529444832.55066741</v>
      </c>
      <c r="AP18" s="10">
        <f t="shared" ca="1" si="18"/>
        <v>595569963.80510581</v>
      </c>
      <c r="AQ18" s="10">
        <f t="shared" ca="1" si="18"/>
        <v>1103356599.5478246</v>
      </c>
      <c r="AR18" s="10">
        <f t="shared" ca="1" si="18"/>
        <v>50185786.347510666</v>
      </c>
      <c r="AS18" s="10">
        <f t="shared" ca="1" si="18"/>
        <v>99088102.291859969</v>
      </c>
      <c r="AT18" s="10">
        <f t="shared" ca="1" si="18"/>
        <v>35205455.639452942</v>
      </c>
      <c r="AU18" s="10">
        <f t="shared" ca="1" si="18"/>
        <v>9215829978.0682869</v>
      </c>
      <c r="AV18" s="10">
        <f t="shared" ca="1" si="18"/>
        <v>21494317741.8162</v>
      </c>
      <c r="AW18" s="10">
        <f t="shared" ca="1" si="18"/>
        <v>9770032519.9378262</v>
      </c>
      <c r="AX18" s="10">
        <f t="shared" ca="1" si="18"/>
        <v>37018660160.940002</v>
      </c>
      <c r="AY18" s="10">
        <f t="shared" ca="1" si="18"/>
        <v>11400443082.492086</v>
      </c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Z18" s="18"/>
      <c r="DA18" s="18"/>
      <c r="DB18" s="18"/>
      <c r="DC18" s="18"/>
      <c r="DF18" s="18"/>
      <c r="DG18" s="18"/>
      <c r="DH18" s="18"/>
      <c r="DI18" s="18"/>
    </row>
    <row r="19" spans="1:113">
      <c r="A19" s="5">
        <f t="shared" si="16"/>
        <v>3</v>
      </c>
      <c r="B19" s="23">
        <f t="shared" ca="1" si="13"/>
        <v>268.81004946848839</v>
      </c>
      <c r="C19" s="10">
        <f t="shared" ref="C19:AH19" ca="1" si="19">B18*C6</f>
        <v>630.73651166893183</v>
      </c>
      <c r="D19" s="10">
        <f t="shared" ca="1" si="19"/>
        <v>22.665536613555847</v>
      </c>
      <c r="E19" s="10">
        <f t="shared" ca="1" si="19"/>
        <v>0.12307521376595117</v>
      </c>
      <c r="F19" s="10">
        <f t="shared" ca="1" si="19"/>
        <v>166.75171391656767</v>
      </c>
      <c r="G19" s="10">
        <f t="shared" ca="1" si="19"/>
        <v>19.380448312167211</v>
      </c>
      <c r="H19" s="10">
        <f t="shared" ca="1" si="19"/>
        <v>345.03785440237743</v>
      </c>
      <c r="I19" s="10">
        <f t="shared" ca="1" si="19"/>
        <v>121.64079565446265</v>
      </c>
      <c r="J19" s="10">
        <f t="shared" ca="1" si="19"/>
        <v>2245.6300691578494</v>
      </c>
      <c r="K19" s="10">
        <f t="shared" ca="1" si="19"/>
        <v>723.55595482687215</v>
      </c>
      <c r="L19" s="10">
        <f t="shared" ca="1" si="19"/>
        <v>1761.2879007378183</v>
      </c>
      <c r="M19" s="10">
        <f t="shared" ca="1" si="19"/>
        <v>1050.6559300109245</v>
      </c>
      <c r="N19" s="10">
        <f t="shared" ca="1" si="19"/>
        <v>3087.1241923099678</v>
      </c>
      <c r="O19" s="10">
        <f t="shared" ca="1" si="19"/>
        <v>12033.336648506454</v>
      </c>
      <c r="P19" s="10">
        <f t="shared" ca="1" si="19"/>
        <v>13316.283507386508</v>
      </c>
      <c r="Q19" s="10">
        <f t="shared" ca="1" si="19"/>
        <v>18934.640059100264</v>
      </c>
      <c r="R19" s="10">
        <f t="shared" ca="1" si="19"/>
        <v>9633.5153082468078</v>
      </c>
      <c r="S19" s="10">
        <f t="shared" ca="1" si="19"/>
        <v>10962.874807087173</v>
      </c>
      <c r="T19" s="10">
        <f t="shared" ca="1" si="19"/>
        <v>103142.4633893772</v>
      </c>
      <c r="U19" s="10">
        <f t="shared" ca="1" si="19"/>
        <v>87136.936370995143</v>
      </c>
      <c r="V19" s="10">
        <f t="shared" ca="1" si="19"/>
        <v>460.28241085270969</v>
      </c>
      <c r="W19" s="10">
        <f t="shared" ca="1" si="19"/>
        <v>21487.614730384736</v>
      </c>
      <c r="X19" s="10">
        <f t="shared" ca="1" si="19"/>
        <v>17342.403331030502</v>
      </c>
      <c r="Y19" s="10">
        <f t="shared" ca="1" si="19"/>
        <v>85832.105230410511</v>
      </c>
      <c r="Z19" s="10">
        <f t="shared" ca="1" si="19"/>
        <v>1047785.9731858877</v>
      </c>
      <c r="AA19" s="10">
        <f t="shared" ca="1" si="19"/>
        <v>167953.62050648712</v>
      </c>
      <c r="AB19" s="10">
        <f t="shared" ca="1" si="19"/>
        <v>445447.85771034117</v>
      </c>
      <c r="AC19" s="10">
        <f t="shared" ca="1" si="19"/>
        <v>4018748.396028643</v>
      </c>
      <c r="AD19" s="10">
        <f t="shared" ca="1" si="19"/>
        <v>3273948.4493774758</v>
      </c>
      <c r="AE19" s="10">
        <f t="shared" ca="1" si="19"/>
        <v>3555785.4962475263</v>
      </c>
      <c r="AF19" s="10">
        <f t="shared" ca="1" si="19"/>
        <v>206430.87834651646</v>
      </c>
      <c r="AG19" s="10">
        <f t="shared" ca="1" si="19"/>
        <v>1243390.714261831</v>
      </c>
      <c r="AH19" s="10">
        <f t="shared" ca="1" si="19"/>
        <v>6374695.9030714491</v>
      </c>
      <c r="AI19" s="10">
        <f t="shared" ref="AI19:AY19" ca="1" si="20">AH18*AI6</f>
        <v>739490.83950570622</v>
      </c>
      <c r="AJ19" s="10">
        <f t="shared" ca="1" si="20"/>
        <v>5351541.0698936209</v>
      </c>
      <c r="AK19" s="10">
        <f t="shared" ca="1" si="20"/>
        <v>156557827.44407696</v>
      </c>
      <c r="AL19" s="10">
        <f t="shared" ca="1" si="20"/>
        <v>14690541.874868115</v>
      </c>
      <c r="AM19" s="10">
        <f t="shared" ca="1" si="20"/>
        <v>13595928.569535566</v>
      </c>
      <c r="AN19" s="10">
        <f t="shared" ca="1" si="20"/>
        <v>610685.10898362007</v>
      </c>
      <c r="AO19" s="10">
        <f t="shared" ca="1" si="20"/>
        <v>551181065.14508867</v>
      </c>
      <c r="AP19" s="10">
        <f t="shared" ca="1" si="20"/>
        <v>95713553.465910628</v>
      </c>
      <c r="AQ19" s="10">
        <f t="shared" ca="1" si="20"/>
        <v>130163020.33163819</v>
      </c>
      <c r="AR19" s="10">
        <f t="shared" ca="1" si="20"/>
        <v>734223227.27476227</v>
      </c>
      <c r="AS19" s="10">
        <f t="shared" ca="1" si="20"/>
        <v>40073165.510294043</v>
      </c>
      <c r="AT19" s="10">
        <f t="shared" ca="1" si="20"/>
        <v>95750381.002024382</v>
      </c>
      <c r="AU19" s="10">
        <f t="shared" ca="1" si="20"/>
        <v>7417184.2700136062</v>
      </c>
      <c r="AV19" s="10">
        <f t="shared" ca="1" si="20"/>
        <v>6746485830.4513988</v>
      </c>
      <c r="AW19" s="10">
        <f t="shared" ca="1" si="20"/>
        <v>9218848840.4633331</v>
      </c>
      <c r="AX19" s="10">
        <f t="shared" ca="1" si="20"/>
        <v>8511828661.2830305</v>
      </c>
      <c r="AY19" s="10">
        <f t="shared" ca="1" si="20"/>
        <v>33046598640.285259</v>
      </c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Z19" s="18"/>
      <c r="DA19" s="18"/>
      <c r="DB19" s="18"/>
      <c r="DC19" s="18"/>
      <c r="DF19" s="18"/>
      <c r="DG19" s="18"/>
      <c r="DH19" s="18"/>
      <c r="DI19" s="18"/>
    </row>
    <row r="20" spans="1:113" ht="15">
      <c r="A20" s="8" t="s">
        <v>2</v>
      </c>
      <c r="B20" s="11">
        <f t="shared" ref="B20:AG20" ca="1" si="21">SUM(B16:B19)</f>
        <v>1643.7627396781525</v>
      </c>
      <c r="C20" s="11">
        <f t="shared" ca="1" si="21"/>
        <v>2216.7402871129366</v>
      </c>
      <c r="D20" s="11">
        <f t="shared" ca="1" si="21"/>
        <v>2515.1143865482991</v>
      </c>
      <c r="E20" s="11">
        <f t="shared" ca="1" si="21"/>
        <v>3248.4145704731754</v>
      </c>
      <c r="F20" s="11">
        <f t="shared" ca="1" si="21"/>
        <v>3885.5486879386713</v>
      </c>
      <c r="G20" s="11">
        <f t="shared" ca="1" si="21"/>
        <v>6678.3182880160803</v>
      </c>
      <c r="H20" s="11">
        <f t="shared" ca="1" si="21"/>
        <v>12673.205543020205</v>
      </c>
      <c r="I20" s="11">
        <f t="shared" ca="1" si="21"/>
        <v>16175.677112432815</v>
      </c>
      <c r="J20" s="11">
        <f t="shared" ca="1" si="21"/>
        <v>27831.726874009164</v>
      </c>
      <c r="K20" s="11">
        <f t="shared" ca="1" si="21"/>
        <v>37586.787096600776</v>
      </c>
      <c r="L20" s="11">
        <f t="shared" ca="1" si="21"/>
        <v>48601.422614768409</v>
      </c>
      <c r="M20" s="11">
        <f t="shared" ca="1" si="21"/>
        <v>76663.274884471364</v>
      </c>
      <c r="N20" s="11">
        <f t="shared" ca="1" si="21"/>
        <v>81529.966902392436</v>
      </c>
      <c r="O20" s="11">
        <f t="shared" ca="1" si="21"/>
        <v>142687.87610195752</v>
      </c>
      <c r="P20" s="11">
        <f t="shared" ca="1" si="21"/>
        <v>152964.68512653257</v>
      </c>
      <c r="Q20" s="11">
        <f t="shared" ca="1" si="21"/>
        <v>282814.80686114752</v>
      </c>
      <c r="R20" s="11">
        <f t="shared" ca="1" si="21"/>
        <v>536107.02859450784</v>
      </c>
      <c r="S20" s="11">
        <f t="shared" ca="1" si="21"/>
        <v>971376.15665360261</v>
      </c>
      <c r="T20" s="11">
        <f t="shared" ca="1" si="21"/>
        <v>1595922.6424827795</v>
      </c>
      <c r="U20" s="11">
        <f t="shared" ca="1" si="21"/>
        <v>1749080.0776998166</v>
      </c>
      <c r="V20" s="11">
        <f t="shared" ca="1" si="21"/>
        <v>3490357.1371191209</v>
      </c>
      <c r="W20" s="11">
        <f t="shared" ca="1" si="21"/>
        <v>5087953.5217326712</v>
      </c>
      <c r="X20" s="11">
        <f t="shared" ca="1" si="21"/>
        <v>9170645.2465782221</v>
      </c>
      <c r="Y20" s="11">
        <f t="shared" ca="1" si="21"/>
        <v>11336298.076968106</v>
      </c>
      <c r="Z20" s="11">
        <f t="shared" ca="1" si="21"/>
        <v>20220196.577281203</v>
      </c>
      <c r="AA20" s="11">
        <f t="shared" ca="1" si="21"/>
        <v>32210517.451359652</v>
      </c>
      <c r="AB20" s="11">
        <f t="shared" ca="1" si="21"/>
        <v>42481555.253838666</v>
      </c>
      <c r="AC20" s="11">
        <f t="shared" ca="1" si="21"/>
        <v>60094067.205881245</v>
      </c>
      <c r="AD20" s="11">
        <f t="shared" ca="1" si="21"/>
        <v>61573059.776399754</v>
      </c>
      <c r="AE20" s="11">
        <f t="shared" ca="1" si="21"/>
        <v>101870581.27703755</v>
      </c>
      <c r="AF20" s="11">
        <f t="shared" ca="1" si="21"/>
        <v>195697746.72578752</v>
      </c>
      <c r="AG20" s="11">
        <f t="shared" ca="1" si="21"/>
        <v>349052778.07409781</v>
      </c>
      <c r="AH20" s="11">
        <f t="shared" ref="AH20:AY20" ca="1" si="22">SUM(AH16:AH19)</f>
        <v>499582090.17208403</v>
      </c>
      <c r="AI20" s="11">
        <f t="shared" ca="1" si="22"/>
        <v>572396495.10098624</v>
      </c>
      <c r="AJ20" s="11">
        <f t="shared" ca="1" si="22"/>
        <v>1101183033.8550107</v>
      </c>
      <c r="AK20" s="11">
        <f t="shared" ca="1" si="22"/>
        <v>1297459261.9861619</v>
      </c>
      <c r="AL20" s="11">
        <f t="shared" ca="1" si="22"/>
        <v>2149728027.5651002</v>
      </c>
      <c r="AM20" s="11">
        <f t="shared" ca="1" si="22"/>
        <v>2911076547.2729778</v>
      </c>
      <c r="AN20" s="11">
        <f t="shared" ca="1" si="22"/>
        <v>4251096056.047441</v>
      </c>
      <c r="AO20" s="11">
        <f t="shared" ca="1" si="22"/>
        <v>8398411183.1454067</v>
      </c>
      <c r="AP20" s="11">
        <f t="shared" ca="1" si="22"/>
        <v>11022694191.618843</v>
      </c>
      <c r="AQ20" s="11">
        <f t="shared" ca="1" si="22"/>
        <v>14631236594.359871</v>
      </c>
      <c r="AR20" s="11">
        <f t="shared" ca="1" si="22"/>
        <v>14842004599.582815</v>
      </c>
      <c r="AS20" s="11">
        <f t="shared" ca="1" si="22"/>
        <v>29085287537.617138</v>
      </c>
      <c r="AT20" s="11">
        <f t="shared" ca="1" si="22"/>
        <v>53652696099.540321</v>
      </c>
      <c r="AU20" s="11">
        <f t="shared" ca="1" si="22"/>
        <v>69519985056.539169</v>
      </c>
      <c r="AV20" s="11">
        <f t="shared" ca="1" si="22"/>
        <v>116702700146.57655</v>
      </c>
      <c r="AW20" s="11">
        <f t="shared" ca="1" si="22"/>
        <v>199556221001.75012</v>
      </c>
      <c r="AX20" s="11">
        <f t="shared" ca="1" si="22"/>
        <v>252899118145.91486</v>
      </c>
      <c r="AY20" s="11">
        <f t="shared" ca="1" si="22"/>
        <v>415184441897.8089</v>
      </c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Z20" s="18"/>
      <c r="DA20" s="18"/>
      <c r="DB20" s="18"/>
      <c r="DC20" s="18"/>
      <c r="DF20" s="18"/>
      <c r="DG20" s="18"/>
      <c r="DH20" s="18"/>
      <c r="DI20" s="18"/>
    </row>
    <row r="21" spans="1:113">
      <c r="CZ21" s="18"/>
      <c r="DA21" s="18"/>
      <c r="DB21" s="18"/>
      <c r="DC21" s="18"/>
      <c r="DF21" s="18"/>
      <c r="DG21" s="18"/>
      <c r="DH21" s="18"/>
      <c r="DI21" s="18"/>
    </row>
    <row r="22" spans="1:113" ht="15">
      <c r="A22" s="15" t="s">
        <v>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Z22" s="18"/>
      <c r="DA22" s="18"/>
      <c r="DB22" s="18"/>
      <c r="DC22" s="18"/>
      <c r="DF22" s="18"/>
      <c r="DG22" s="18"/>
      <c r="DH22" s="18"/>
      <c r="DI22" s="18"/>
    </row>
    <row r="23" spans="1:113">
      <c r="A23" s="4">
        <v>0</v>
      </c>
      <c r="B23" s="9">
        <f t="shared" ref="B23:AG23" ca="1" si="23">B10/B$14</f>
        <v>0.40502522529241602</v>
      </c>
      <c r="C23" s="9">
        <f t="shared" ca="1" si="23"/>
        <v>0.82820568110591919</v>
      </c>
      <c r="D23" s="9">
        <f t="shared" ca="1" si="23"/>
        <v>0.63424275019531473</v>
      </c>
      <c r="E23" s="9">
        <f t="shared" ca="1" si="23"/>
        <v>0.84892258149139521</v>
      </c>
      <c r="F23" s="9">
        <f t="shared" ca="1" si="23"/>
        <v>0.5625942408854917</v>
      </c>
      <c r="G23" s="9">
        <f t="shared" ca="1" si="23"/>
        <v>0.65562507245855584</v>
      </c>
      <c r="H23" s="9">
        <f t="shared" ca="1" si="23"/>
        <v>0.70855178048192669</v>
      </c>
      <c r="I23" s="9">
        <f t="shared" ca="1" si="23"/>
        <v>0.59778789546699251</v>
      </c>
      <c r="J23" s="9">
        <f t="shared" ca="1" si="23"/>
        <v>0.70891581409056137</v>
      </c>
      <c r="K23" s="9">
        <f t="shared" ca="1" si="23"/>
        <v>0.478518377886619</v>
      </c>
      <c r="L23" s="9">
        <f t="shared" ca="1" si="23"/>
        <v>0.79420399954103182</v>
      </c>
      <c r="M23" s="9">
        <f t="shared" ca="1" si="23"/>
        <v>0.6269974451732081</v>
      </c>
      <c r="N23" s="9">
        <f t="shared" ca="1" si="23"/>
        <v>0.51390444240395183</v>
      </c>
      <c r="O23" s="9">
        <f t="shared" ca="1" si="23"/>
        <v>0.56454173417616471</v>
      </c>
      <c r="P23" s="9">
        <f t="shared" ca="1" si="23"/>
        <v>0.65829867326144664</v>
      </c>
      <c r="Q23" s="9">
        <f t="shared" ca="1" si="23"/>
        <v>0.80697913437680513</v>
      </c>
      <c r="R23" s="9">
        <f t="shared" ca="1" si="23"/>
        <v>0.70208355790691213</v>
      </c>
      <c r="S23" s="9">
        <f t="shared" ca="1" si="23"/>
        <v>0.5985196268726376</v>
      </c>
      <c r="T23" s="9">
        <f t="shared" ca="1" si="23"/>
        <v>0.78038264493160536</v>
      </c>
      <c r="U23" s="9">
        <f t="shared" ca="1" si="23"/>
        <v>0.93248727600532311</v>
      </c>
      <c r="V23" s="9">
        <f t="shared" ca="1" si="23"/>
        <v>0.66681135863132257</v>
      </c>
      <c r="W23" s="9">
        <f t="shared" ca="1" si="23"/>
        <v>0.72832973656838007</v>
      </c>
      <c r="X23" s="9">
        <f t="shared" ca="1" si="23"/>
        <v>0.60765106708227445</v>
      </c>
      <c r="Y23" s="9">
        <f t="shared" ca="1" si="23"/>
        <v>0.60138509333721468</v>
      </c>
      <c r="Z23" s="9">
        <f t="shared" ca="1" si="23"/>
        <v>0.7214325970020814</v>
      </c>
      <c r="AA23" s="9">
        <f t="shared" ca="1" si="23"/>
        <v>0.69869275143785659</v>
      </c>
      <c r="AB23" s="9">
        <f t="shared" ca="1" si="23"/>
        <v>0.45268924366553959</v>
      </c>
      <c r="AC23" s="9">
        <f t="shared" ca="1" si="23"/>
        <v>0.62310290931839085</v>
      </c>
      <c r="AD23" s="9">
        <f t="shared" ca="1" si="23"/>
        <v>0.38734271738686343</v>
      </c>
      <c r="AE23" s="9">
        <f t="shared" ca="1" si="23"/>
        <v>0.78718974016391197</v>
      </c>
      <c r="AF23" s="9">
        <f t="shared" ca="1" si="23"/>
        <v>0.81728733832509159</v>
      </c>
      <c r="AG23" s="9">
        <f t="shared" ca="1" si="23"/>
        <v>0.96382900321971399</v>
      </c>
      <c r="AH23" s="9">
        <f t="shared" ref="AH23:AY23" ca="1" si="24">AH10/AH$14</f>
        <v>0.89921148655133187</v>
      </c>
      <c r="AI23" s="9">
        <f t="shared" ca="1" si="24"/>
        <v>0.48412696256269239</v>
      </c>
      <c r="AJ23" s="9">
        <f t="shared" ca="1" si="24"/>
        <v>0.63202905480757754</v>
      </c>
      <c r="AK23" s="9">
        <f t="shared" ca="1" si="24"/>
        <v>0.75334272925025969</v>
      </c>
      <c r="AL23" s="9">
        <f t="shared" ca="1" si="24"/>
        <v>0.84296532631136134</v>
      </c>
      <c r="AM23" s="9">
        <f t="shared" ca="1" si="24"/>
        <v>0.3834938847153882</v>
      </c>
      <c r="AN23" s="9">
        <f t="shared" ca="1" si="24"/>
        <v>0.63500909406621131</v>
      </c>
      <c r="AO23" s="9">
        <f t="shared" ca="1" si="24"/>
        <v>0.78340179611598471</v>
      </c>
      <c r="AP23" s="9">
        <f t="shared" ca="1" si="24"/>
        <v>0.39821571064426459</v>
      </c>
      <c r="AQ23" s="9">
        <f t="shared" ca="1" si="24"/>
        <v>0.91212974551944503</v>
      </c>
      <c r="AR23" s="9">
        <f t="shared" ca="1" si="24"/>
        <v>0.24386871150199443</v>
      </c>
      <c r="AS23" s="9">
        <f t="shared" ca="1" si="24"/>
        <v>0.91782847956419988</v>
      </c>
      <c r="AT23" s="9">
        <f t="shared" ca="1" si="24"/>
        <v>0.77257202997567809</v>
      </c>
      <c r="AU23" s="9">
        <f t="shared" ca="1" si="24"/>
        <v>0.29591847967897406</v>
      </c>
      <c r="AV23" s="9">
        <f t="shared" ca="1" si="24"/>
        <v>0.6032918904067992</v>
      </c>
      <c r="AW23" s="9">
        <f t="shared" ca="1" si="24"/>
        <v>0.55349295527503706</v>
      </c>
      <c r="AX23" s="9">
        <f t="shared" ca="1" si="24"/>
        <v>0.746241378007794</v>
      </c>
      <c r="AY23" s="9">
        <f t="shared" ca="1" si="24"/>
        <v>0.71322210964758836</v>
      </c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Z23" s="18"/>
      <c r="DA23" s="18"/>
      <c r="DB23" s="18"/>
      <c r="DC23" s="18"/>
      <c r="DF23" s="18"/>
      <c r="DG23" s="18"/>
      <c r="DH23" s="18"/>
      <c r="DI23" s="18"/>
    </row>
    <row r="24" spans="1:113">
      <c r="A24" s="4">
        <f>A23+1</f>
        <v>1</v>
      </c>
      <c r="B24" s="9">
        <f t="shared" ref="B24:AG24" ca="1" si="25">B11/B$14</f>
        <v>0.33036887013313643</v>
      </c>
      <c r="C24" s="9">
        <f t="shared" ca="1" si="25"/>
        <v>8.1235334362381353E-2</v>
      </c>
      <c r="D24" s="9">
        <f t="shared" ca="1" si="25"/>
        <v>0.35047576256456597</v>
      </c>
      <c r="E24" s="9">
        <f t="shared" ca="1" si="25"/>
        <v>1.7204302356779319E-2</v>
      </c>
      <c r="F24" s="9">
        <f t="shared" ca="1" si="25"/>
        <v>0.38066657258373687</v>
      </c>
      <c r="G24" s="9">
        <f t="shared" ca="1" si="25"/>
        <v>0.14144637003306787</v>
      </c>
      <c r="H24" s="9">
        <f t="shared" ca="1" si="25"/>
        <v>0.2544194831675663</v>
      </c>
      <c r="I24" s="9">
        <f t="shared" ca="1" si="25"/>
        <v>0.23510891867495856</v>
      </c>
      <c r="J24" s="9">
        <f t="shared" ca="1" si="25"/>
        <v>0.10434973302358795</v>
      </c>
      <c r="K24" s="9">
        <f t="shared" ca="1" si="25"/>
        <v>0.45254282869043122</v>
      </c>
      <c r="L24" s="9">
        <f t="shared" ca="1" si="25"/>
        <v>8.9889806420836285E-2</v>
      </c>
      <c r="M24" s="9">
        <f t="shared" ca="1" si="25"/>
        <v>0.31443486224429457</v>
      </c>
      <c r="N24" s="9">
        <f t="shared" ca="1" si="25"/>
        <v>0.26933637400754207</v>
      </c>
      <c r="O24" s="9">
        <f t="shared" ca="1" si="25"/>
        <v>0.23983759260001397</v>
      </c>
      <c r="P24" s="9">
        <f t="shared" ca="1" si="25"/>
        <v>0.10438436632948263</v>
      </c>
      <c r="Q24" s="9">
        <f t="shared" ca="1" si="25"/>
        <v>7.3973663864875527E-2</v>
      </c>
      <c r="R24" s="9">
        <f t="shared" ca="1" si="25"/>
        <v>0.24504191536627987</v>
      </c>
      <c r="S24" s="9">
        <f t="shared" ca="1" si="25"/>
        <v>0.26551096331285856</v>
      </c>
      <c r="T24" s="9">
        <f t="shared" ca="1" si="25"/>
        <v>3.6361734315917926E-3</v>
      </c>
      <c r="U24" s="9">
        <f t="shared" ca="1" si="25"/>
        <v>1.728716468939687E-2</v>
      </c>
      <c r="V24" s="9">
        <f t="shared" ca="1" si="25"/>
        <v>0.32483405226550199</v>
      </c>
      <c r="W24" s="9">
        <f t="shared" ca="1" si="25"/>
        <v>0.16723098182579976</v>
      </c>
      <c r="X24" s="9">
        <f t="shared" ca="1" si="25"/>
        <v>0.3787448466328126</v>
      </c>
      <c r="Y24" s="9">
        <f t="shared" ca="1" si="25"/>
        <v>0.29093031069120134</v>
      </c>
      <c r="Z24" s="9">
        <f t="shared" ca="1" si="25"/>
        <v>0.1192177880199804</v>
      </c>
      <c r="AA24" s="9">
        <f t="shared" ca="1" si="25"/>
        <v>0.27745376242319264</v>
      </c>
      <c r="AB24" s="9">
        <f t="shared" ca="1" si="25"/>
        <v>0.36115371828461973</v>
      </c>
      <c r="AC24" s="9">
        <f t="shared" ca="1" si="25"/>
        <v>0.18447229739362606</v>
      </c>
      <c r="AD24" s="9">
        <f t="shared" ca="1" si="25"/>
        <v>0.43320987153703339</v>
      </c>
      <c r="AE24" s="9">
        <f t="shared" ca="1" si="25"/>
        <v>7.7868304120916262E-2</v>
      </c>
      <c r="AF24" s="9">
        <f t="shared" ca="1" si="25"/>
        <v>0.1631323711520781</v>
      </c>
      <c r="AG24" s="9">
        <f t="shared" ca="1" si="25"/>
        <v>7.2670876198860116E-3</v>
      </c>
      <c r="AH24" s="9">
        <f t="shared" ref="AH24:AY24" ca="1" si="26">AH11/AH$14</f>
        <v>8.3731684351921853E-2</v>
      </c>
      <c r="AI24" s="9">
        <f t="shared" ca="1" si="26"/>
        <v>0.46866523180491776</v>
      </c>
      <c r="AJ24" s="9">
        <f t="shared" ca="1" si="26"/>
        <v>0.19012312749670246</v>
      </c>
      <c r="AK24" s="9">
        <f t="shared" ca="1" si="26"/>
        <v>4.7480393104682314E-2</v>
      </c>
      <c r="AL24" s="9">
        <f t="shared" ca="1" si="26"/>
        <v>0.14300180953324185</v>
      </c>
      <c r="AM24" s="9">
        <f t="shared" ca="1" si="26"/>
        <v>0.61148616204774653</v>
      </c>
      <c r="AN24" s="9">
        <f t="shared" ca="1" si="26"/>
        <v>0.21145103732138262</v>
      </c>
      <c r="AO24" s="9">
        <f t="shared" ca="1" si="26"/>
        <v>8.792792636004261E-2</v>
      </c>
      <c r="AP24" s="9">
        <f t="shared" ca="1" si="26"/>
        <v>0.53906972019018262</v>
      </c>
      <c r="AQ24" s="9">
        <f t="shared" ca="1" si="26"/>
        <v>3.5629840783410918E-3</v>
      </c>
      <c r="AR24" s="9">
        <f t="shared" ca="1" si="26"/>
        <v>0.70328067735856947</v>
      </c>
      <c r="AS24" s="9">
        <f t="shared" ca="1" si="26"/>
        <v>7.7386927276039297E-2</v>
      </c>
      <c r="AT24" s="9">
        <f t="shared" ca="1" si="26"/>
        <v>0.22498716376179007</v>
      </c>
      <c r="AU24" s="9">
        <f t="shared" ca="1" si="26"/>
        <v>0.57141107807571734</v>
      </c>
      <c r="AV24" s="9">
        <f t="shared" ca="1" si="26"/>
        <v>0.15471881939856397</v>
      </c>
      <c r="AW24" s="9">
        <f t="shared" ca="1" si="26"/>
        <v>0.35135149775639896</v>
      </c>
      <c r="AX24" s="9">
        <f t="shared" ca="1" si="26"/>
        <v>7.3724428294648855E-2</v>
      </c>
      <c r="AY24" s="9">
        <f t="shared" ca="1" si="26"/>
        <v>0.17972416377342451</v>
      </c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Z24" s="18"/>
      <c r="DA24" s="18"/>
      <c r="DB24" s="18"/>
      <c r="DC24" s="18"/>
      <c r="DF24" s="18"/>
      <c r="DG24" s="18"/>
      <c r="DH24" s="18"/>
      <c r="DI24" s="18"/>
    </row>
    <row r="25" spans="1:113">
      <c r="A25" s="4">
        <f t="shared" ref="A25:A26" si="27">A24+1</f>
        <v>2</v>
      </c>
      <c r="B25" s="9">
        <f t="shared" ref="B25:AG25" ca="1" si="28">B12/B$14</f>
        <v>0.11772858567886753</v>
      </c>
      <c r="C25" s="9">
        <f t="shared" ca="1" si="28"/>
        <v>3.0669651665595977E-2</v>
      </c>
      <c r="D25" s="9">
        <f t="shared" ca="1" si="28"/>
        <v>3.6234086344977197E-4</v>
      </c>
      <c r="E25" s="9">
        <f t="shared" ca="1" si="28"/>
        <v>0.13367532526910952</v>
      </c>
      <c r="F25" s="9">
        <f t="shared" ca="1" si="28"/>
        <v>4.5756814735576348E-3</v>
      </c>
      <c r="G25" s="9">
        <f t="shared" ca="1" si="28"/>
        <v>0.2003088132583519</v>
      </c>
      <c r="H25" s="9">
        <f t="shared" ca="1" si="28"/>
        <v>1.0490835971430254E-2</v>
      </c>
      <c r="I25" s="9">
        <f t="shared" ca="1" si="28"/>
        <v>0.15956830544702705</v>
      </c>
      <c r="J25" s="9">
        <f t="shared" ca="1" si="28"/>
        <v>0.10540407621697569</v>
      </c>
      <c r="K25" s="9">
        <f t="shared" ca="1" si="28"/>
        <v>4.9725091652401895E-2</v>
      </c>
      <c r="L25" s="9">
        <f t="shared" ca="1" si="28"/>
        <v>7.9717111440798571E-2</v>
      </c>
      <c r="M25" s="9">
        <f t="shared" ca="1" si="28"/>
        <v>4.4868648439823487E-2</v>
      </c>
      <c r="N25" s="9">
        <f t="shared" ca="1" si="28"/>
        <v>0.17887081634884827</v>
      </c>
      <c r="O25" s="9">
        <f t="shared" ca="1" si="28"/>
        <v>0.11128439273661507</v>
      </c>
      <c r="P25" s="9">
        <f t="shared" ca="1" si="28"/>
        <v>0.15026694403741161</v>
      </c>
      <c r="Q25" s="9">
        <f t="shared" ca="1" si="28"/>
        <v>5.2098562141958397E-2</v>
      </c>
      <c r="R25" s="9">
        <f t="shared" ca="1" si="28"/>
        <v>3.4904815220903121E-2</v>
      </c>
      <c r="S25" s="9">
        <f t="shared" ca="1" si="28"/>
        <v>0.1246833637012137</v>
      </c>
      <c r="T25" s="9">
        <f t="shared" ca="1" si="28"/>
        <v>0.15135242369850987</v>
      </c>
      <c r="U25" s="9">
        <f t="shared" ca="1" si="28"/>
        <v>4.0689223752478712E-4</v>
      </c>
      <c r="V25" s="9">
        <f t="shared" ca="1" si="28"/>
        <v>8.2227164910647545E-3</v>
      </c>
      <c r="W25" s="9">
        <f t="shared" ca="1" si="28"/>
        <v>0.10021604750623873</v>
      </c>
      <c r="X25" s="9">
        <f t="shared" ca="1" si="28"/>
        <v>1.1713008411187146E-2</v>
      </c>
      <c r="Y25" s="9">
        <f t="shared" ca="1" si="28"/>
        <v>0.10011315580002492</v>
      </c>
      <c r="Z25" s="9">
        <f t="shared" ca="1" si="28"/>
        <v>0.10753083235269154</v>
      </c>
      <c r="AA25" s="9">
        <f t="shared" ca="1" si="28"/>
        <v>1.8639238307068484E-2</v>
      </c>
      <c r="AB25" s="9">
        <f t="shared" ca="1" si="28"/>
        <v>0.17567136126589905</v>
      </c>
      <c r="AC25" s="9">
        <f t="shared" ca="1" si="28"/>
        <v>0.12555049799510049</v>
      </c>
      <c r="AD25" s="9">
        <f t="shared" ca="1" si="28"/>
        <v>0.12627564307646311</v>
      </c>
      <c r="AE25" s="9">
        <f t="shared" ca="1" si="28"/>
        <v>0.10003702583521558</v>
      </c>
      <c r="AF25" s="9">
        <f t="shared" ca="1" si="28"/>
        <v>1.85254450695728E-2</v>
      </c>
      <c r="AG25" s="9">
        <f t="shared" ca="1" si="28"/>
        <v>2.5341723747890246E-2</v>
      </c>
      <c r="AH25" s="9">
        <f t="shared" ref="AH25:AY25" ca="1" si="29">AH12/AH$14</f>
        <v>4.2967721842243501E-3</v>
      </c>
      <c r="AI25" s="9">
        <f t="shared" ca="1" si="29"/>
        <v>4.5915885004232722E-2</v>
      </c>
      <c r="AJ25" s="9">
        <f t="shared" ca="1" si="29"/>
        <v>0.17298800701451203</v>
      </c>
      <c r="AK25" s="9">
        <f t="shared" ca="1" si="29"/>
        <v>7.8511950405326339E-2</v>
      </c>
      <c r="AL25" s="9">
        <f t="shared" ca="1" si="29"/>
        <v>7.1991895293521801E-3</v>
      </c>
      <c r="AM25" s="9">
        <f t="shared" ca="1" si="29"/>
        <v>3.4954064250332189E-4</v>
      </c>
      <c r="AN25" s="9">
        <f t="shared" ca="1" si="29"/>
        <v>0.15339621504614168</v>
      </c>
      <c r="AO25" s="9">
        <f t="shared" ca="1" si="29"/>
        <v>6.3041070626929929E-2</v>
      </c>
      <c r="AP25" s="9">
        <f t="shared" ca="1" si="29"/>
        <v>5.4031251656963333E-2</v>
      </c>
      <c r="AQ25" s="9">
        <f t="shared" ca="1" si="29"/>
        <v>7.5411028482250966E-2</v>
      </c>
      <c r="AR25" s="9">
        <f t="shared" ca="1" si="29"/>
        <v>3.381334779327672E-3</v>
      </c>
      <c r="AS25" s="9">
        <f t="shared" ca="1" si="29"/>
        <v>3.4068118516519886E-3</v>
      </c>
      <c r="AT25" s="9">
        <f t="shared" ca="1" si="29"/>
        <v>6.5617309471526365E-4</v>
      </c>
      <c r="AU25" s="9">
        <f t="shared" ca="1" si="29"/>
        <v>0.13256375084910102</v>
      </c>
      <c r="AV25" s="9">
        <f t="shared" ca="1" si="29"/>
        <v>0.18418012363741121</v>
      </c>
      <c r="AW25" s="9">
        <f t="shared" ca="1" si="29"/>
        <v>4.8958797029194819E-2</v>
      </c>
      <c r="AX25" s="9">
        <f t="shared" ca="1" si="29"/>
        <v>0.14637718166965458</v>
      </c>
      <c r="AY25" s="9">
        <f t="shared" ca="1" si="29"/>
        <v>2.7458743469241379E-2</v>
      </c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Z25" s="18"/>
      <c r="DA25" s="18"/>
      <c r="DB25" s="18"/>
      <c r="DC25" s="18"/>
      <c r="DF25" s="18"/>
      <c r="DG25" s="18"/>
      <c r="DH25" s="18"/>
      <c r="DI25" s="18"/>
    </row>
    <row r="26" spans="1:113">
      <c r="A26" s="4">
        <f t="shared" si="27"/>
        <v>3</v>
      </c>
      <c r="B26" s="9">
        <f t="shared" ref="B26:AG26" ca="1" si="30">B13/B$14</f>
        <v>0.14687731889558001</v>
      </c>
      <c r="C26" s="9">
        <f t="shared" ca="1" si="30"/>
        <v>5.9889332866103484E-2</v>
      </c>
      <c r="D26" s="9">
        <f t="shared" ca="1" si="30"/>
        <v>1.4919146376669435E-2</v>
      </c>
      <c r="E26" s="9">
        <f t="shared" ca="1" si="30"/>
        <v>1.977908827157718E-4</v>
      </c>
      <c r="F26" s="9">
        <f t="shared" ca="1" si="30"/>
        <v>5.2163505057213969E-2</v>
      </c>
      <c r="G26" s="9">
        <f t="shared" ca="1" si="30"/>
        <v>2.619744250024409E-3</v>
      </c>
      <c r="H26" s="9">
        <f t="shared" ca="1" si="30"/>
        <v>2.6537900379076617E-2</v>
      </c>
      <c r="I26" s="9">
        <f t="shared" ca="1" si="30"/>
        <v>7.5348804110219828E-3</v>
      </c>
      <c r="J26" s="9">
        <f t="shared" ca="1" si="30"/>
        <v>8.1330376668875021E-2</v>
      </c>
      <c r="K26" s="9">
        <f t="shared" ca="1" si="30"/>
        <v>1.9213701770548007E-2</v>
      </c>
      <c r="L26" s="9">
        <f t="shared" ca="1" si="30"/>
        <v>3.6189082597333368E-2</v>
      </c>
      <c r="M26" s="9">
        <f t="shared" ca="1" si="30"/>
        <v>1.3699044142673837E-2</v>
      </c>
      <c r="N26" s="9">
        <f t="shared" ca="1" si="30"/>
        <v>3.7888367239657855E-2</v>
      </c>
      <c r="O26" s="9">
        <f t="shared" ca="1" si="30"/>
        <v>8.4336280487206358E-2</v>
      </c>
      <c r="P26" s="9">
        <f t="shared" ca="1" si="30"/>
        <v>8.7050016371659197E-2</v>
      </c>
      <c r="Q26" s="9">
        <f t="shared" ca="1" si="30"/>
        <v>6.6948639616360842E-2</v>
      </c>
      <c r="R26" s="9">
        <f t="shared" ca="1" si="30"/>
        <v>1.7969711505904904E-2</v>
      </c>
      <c r="S26" s="9">
        <f t="shared" ca="1" si="30"/>
        <v>1.1286046113290208E-2</v>
      </c>
      <c r="T26" s="9">
        <f t="shared" ca="1" si="30"/>
        <v>6.4628757938293008E-2</v>
      </c>
      <c r="U26" s="9">
        <f t="shared" ca="1" si="30"/>
        <v>4.981866706775525E-2</v>
      </c>
      <c r="V26" s="9">
        <f t="shared" ca="1" si="30"/>
        <v>1.3187261211076263E-4</v>
      </c>
      <c r="W26" s="9">
        <f t="shared" ca="1" si="30"/>
        <v>4.2232340995814075E-3</v>
      </c>
      <c r="X26" s="9">
        <f t="shared" ca="1" si="30"/>
        <v>1.8910778737258166E-3</v>
      </c>
      <c r="Y26" s="9">
        <f t="shared" ca="1" si="30"/>
        <v>7.5714401715591337E-3</v>
      </c>
      <c r="Z26" s="9">
        <f t="shared" ca="1" si="30"/>
        <v>5.1818782625246682E-2</v>
      </c>
      <c r="AA26" s="9">
        <f t="shared" ca="1" si="30"/>
        <v>5.2142478318822905E-3</v>
      </c>
      <c r="AB26" s="9">
        <f t="shared" ca="1" si="30"/>
        <v>1.0485676783941664E-2</v>
      </c>
      <c r="AC26" s="9">
        <f t="shared" ca="1" si="30"/>
        <v>6.6874295292882566E-2</v>
      </c>
      <c r="AD26" s="9">
        <f t="shared" ca="1" si="30"/>
        <v>5.3171767999640074E-2</v>
      </c>
      <c r="AE26" s="9">
        <f t="shared" ca="1" si="30"/>
        <v>3.4904929879956206E-2</v>
      </c>
      <c r="AF26" s="9">
        <f t="shared" ca="1" si="30"/>
        <v>1.0548454532574858E-3</v>
      </c>
      <c r="AG26" s="9">
        <f t="shared" ca="1" si="30"/>
        <v>3.5621854125097966E-3</v>
      </c>
      <c r="AH26" s="9">
        <f t="shared" ref="AH26:AY26" ca="1" si="31">AH13/AH$14</f>
        <v>1.2760056912521784E-2</v>
      </c>
      <c r="AI26" s="9">
        <f t="shared" ca="1" si="31"/>
        <v>1.29192062815716E-3</v>
      </c>
      <c r="AJ26" s="9">
        <f t="shared" ca="1" si="31"/>
        <v>4.8598106812081307E-3</v>
      </c>
      <c r="AK26" s="9">
        <f t="shared" ca="1" si="31"/>
        <v>0.12066492723973161</v>
      </c>
      <c r="AL26" s="9">
        <f t="shared" ca="1" si="31"/>
        <v>6.8336746260444243E-3</v>
      </c>
      <c r="AM26" s="9">
        <f t="shared" ca="1" si="31"/>
        <v>4.6704125943620046E-3</v>
      </c>
      <c r="AN26" s="9">
        <f t="shared" ca="1" si="31"/>
        <v>1.4365356626437173E-4</v>
      </c>
      <c r="AO26" s="9">
        <f t="shared" ca="1" si="31"/>
        <v>6.562920689704288E-2</v>
      </c>
      <c r="AP26" s="9">
        <f t="shared" ca="1" si="31"/>
        <v>8.6833175085894096E-3</v>
      </c>
      <c r="AQ26" s="9">
        <f t="shared" ca="1" si="31"/>
        <v>8.89624191996281E-3</v>
      </c>
      <c r="AR26" s="9">
        <f t="shared" ca="1" si="31"/>
        <v>4.9469276360108415E-2</v>
      </c>
      <c r="AS26" s="9">
        <f t="shared" ca="1" si="31"/>
        <v>1.3777813081086382E-3</v>
      </c>
      <c r="AT26" s="9">
        <f t="shared" ca="1" si="31"/>
        <v>1.7846331678166066E-3</v>
      </c>
      <c r="AU26" s="9">
        <f t="shared" ca="1" si="31"/>
        <v>1.0669139620759931E-4</v>
      </c>
      <c r="AV26" s="9">
        <f t="shared" ca="1" si="31"/>
        <v>5.780916655722558E-2</v>
      </c>
      <c r="AW26" s="9">
        <f t="shared" ca="1" si="31"/>
        <v>4.6196749939369133E-2</v>
      </c>
      <c r="AX26" s="9">
        <f t="shared" ca="1" si="31"/>
        <v>3.3657012027902666E-2</v>
      </c>
      <c r="AY26" s="9">
        <f t="shared" ca="1" si="31"/>
        <v>7.9594983109745651E-2</v>
      </c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Z26" s="18"/>
      <c r="DA26" s="18"/>
      <c r="DB26" s="18"/>
      <c r="DC26" s="18"/>
      <c r="DF26" s="18"/>
      <c r="DG26" s="18"/>
      <c r="DH26" s="18"/>
      <c r="DI26" s="18"/>
    </row>
    <row r="27" spans="1:113">
      <c r="CZ27" s="18"/>
      <c r="DA27" s="18"/>
      <c r="DB27" s="18"/>
      <c r="DC27" s="18"/>
      <c r="DF27" s="18"/>
      <c r="DG27" s="18"/>
      <c r="DH27" s="18"/>
      <c r="DI27" s="18"/>
    </row>
    <row r="28" spans="1:113">
      <c r="A28" s="4">
        <v>0</v>
      </c>
      <c r="B28" s="9">
        <f t="shared" ref="B28:AG28" ca="1" si="32">B16/B$20</f>
        <v>7.758449766190105E-2</v>
      </c>
      <c r="C28" s="9">
        <f t="shared" ca="1" si="32"/>
        <v>0.6813800139718349</v>
      </c>
      <c r="D28" s="9">
        <f t="shared" ca="1" si="32"/>
        <v>0.70257601779629264</v>
      </c>
      <c r="E28" s="9">
        <f t="shared" ca="1" si="32"/>
        <v>0.87092707613125508</v>
      </c>
      <c r="F28" s="9">
        <f t="shared" ca="1" si="32"/>
        <v>0.56148182289372606</v>
      </c>
      <c r="G28" s="9">
        <f t="shared" ca="1" si="32"/>
        <v>0.6504303995575208</v>
      </c>
      <c r="H28" s="9">
        <f t="shared" ca="1" si="32"/>
        <v>0.70990047435977754</v>
      </c>
      <c r="I28" s="9">
        <f t="shared" ca="1" si="32"/>
        <v>0.59861957330968862</v>
      </c>
      <c r="J28" s="9">
        <f t="shared" ca="1" si="32"/>
        <v>0.70921440489792875</v>
      </c>
      <c r="K28" s="9">
        <f t="shared" ca="1" si="32"/>
        <v>0.47822201690797822</v>
      </c>
      <c r="L28" s="9">
        <f t="shared" ca="1" si="32"/>
        <v>0.79417574630322374</v>
      </c>
      <c r="M28" s="9">
        <f t="shared" ca="1" si="32"/>
        <v>0.6270306495361927</v>
      </c>
      <c r="N28" s="9">
        <f t="shared" ca="1" si="32"/>
        <v>0.51392000757899481</v>
      </c>
      <c r="O28" s="9">
        <f t="shared" ca="1" si="32"/>
        <v>0.56453157679135924</v>
      </c>
      <c r="P28" s="9">
        <f t="shared" ca="1" si="32"/>
        <v>0.65829139010509974</v>
      </c>
      <c r="Q28" s="9">
        <f t="shared" ca="1" si="32"/>
        <v>0.80697886241809713</v>
      </c>
      <c r="R28" s="9">
        <f t="shared" ca="1" si="32"/>
        <v>0.7020843499769861</v>
      </c>
      <c r="S28" s="9">
        <f t="shared" ca="1" si="32"/>
        <v>0.59851949421464634</v>
      </c>
      <c r="T28" s="9">
        <f t="shared" ca="1" si="32"/>
        <v>0.78038249676660643</v>
      </c>
      <c r="U28" s="9">
        <f t="shared" ca="1" si="32"/>
        <v>0.9324872231737249</v>
      </c>
      <c r="V28" s="9">
        <f t="shared" ca="1" si="32"/>
        <v>0.66681137862573936</v>
      </c>
      <c r="W28" s="9">
        <f t="shared" ca="1" si="32"/>
        <v>0.72832973803367584</v>
      </c>
      <c r="X28" s="9">
        <f t="shared" ca="1" si="32"/>
        <v>0.60765106607621999</v>
      </c>
      <c r="Y28" s="9">
        <f t="shared" ca="1" si="32"/>
        <v>0.6013850933904481</v>
      </c>
      <c r="Z28" s="9">
        <f t="shared" ca="1" si="32"/>
        <v>0.72143259706530927</v>
      </c>
      <c r="AA28" s="9">
        <f t="shared" ca="1" si="32"/>
        <v>0.69869275142052301</v>
      </c>
      <c r="AB28" s="9">
        <f t="shared" ca="1" si="32"/>
        <v>0.45268924365817487</v>
      </c>
      <c r="AC28" s="9">
        <f t="shared" ca="1" si="32"/>
        <v>0.62310290931864576</v>
      </c>
      <c r="AD28" s="9">
        <f t="shared" ca="1" si="32"/>
        <v>0.38734271739005977</v>
      </c>
      <c r="AE28" s="9">
        <f t="shared" ca="1" si="32"/>
        <v>0.78718974016379628</v>
      </c>
      <c r="AF28" s="9">
        <f t="shared" ca="1" si="32"/>
        <v>0.81728733832496236</v>
      </c>
      <c r="AG28" s="9">
        <f t="shared" ca="1" si="32"/>
        <v>0.96382900321968956</v>
      </c>
      <c r="AH28" s="9">
        <f t="shared" ref="AH28:AY28" ca="1" si="33">AH16/AH$20</f>
        <v>0.89921148655133665</v>
      </c>
      <c r="AI28" s="9">
        <f t="shared" ca="1" si="33"/>
        <v>0.48412696256269122</v>
      </c>
      <c r="AJ28" s="9">
        <f t="shared" ca="1" si="33"/>
        <v>0.63202905480757698</v>
      </c>
      <c r="AK28" s="9">
        <f t="shared" ca="1" si="33"/>
        <v>0.75334272925025936</v>
      </c>
      <c r="AL28" s="9">
        <f t="shared" ca="1" si="33"/>
        <v>0.84296532631136156</v>
      </c>
      <c r="AM28" s="9">
        <f t="shared" ca="1" si="33"/>
        <v>0.38349388471538798</v>
      </c>
      <c r="AN28" s="9">
        <f t="shared" ca="1" si="33"/>
        <v>0.63500909406621142</v>
      </c>
      <c r="AO28" s="9">
        <f t="shared" ca="1" si="33"/>
        <v>0.78340179611598459</v>
      </c>
      <c r="AP28" s="9">
        <f t="shared" ca="1" si="33"/>
        <v>0.39821571064426475</v>
      </c>
      <c r="AQ28" s="9">
        <f t="shared" ca="1" si="33"/>
        <v>0.91212974551944503</v>
      </c>
      <c r="AR28" s="9">
        <f t="shared" ca="1" si="33"/>
        <v>0.24386871150199446</v>
      </c>
      <c r="AS28" s="9">
        <f t="shared" ca="1" si="33"/>
        <v>0.91782847956420011</v>
      </c>
      <c r="AT28" s="9">
        <f t="shared" ca="1" si="33"/>
        <v>0.7725720299756782</v>
      </c>
      <c r="AU28" s="9">
        <f t="shared" ca="1" si="33"/>
        <v>0.295918479678974</v>
      </c>
      <c r="AV28" s="9">
        <f t="shared" ca="1" si="33"/>
        <v>0.6032918904067992</v>
      </c>
      <c r="AW28" s="9">
        <f t="shared" ca="1" si="33"/>
        <v>0.55349295527503706</v>
      </c>
      <c r="AX28" s="9">
        <f t="shared" ca="1" si="33"/>
        <v>0.74624137800779411</v>
      </c>
      <c r="AY28" s="9">
        <f t="shared" ca="1" si="33"/>
        <v>0.71322210964758859</v>
      </c>
      <c r="CZ28" s="18"/>
      <c r="DA28" s="18"/>
      <c r="DB28" s="18"/>
      <c r="DC28" s="18"/>
      <c r="DF28" s="18"/>
      <c r="DG28" s="18"/>
      <c r="DH28" s="18"/>
      <c r="DI28" s="18"/>
    </row>
    <row r="29" spans="1:113">
      <c r="A29" s="4">
        <f>A28+1</f>
        <v>1</v>
      </c>
      <c r="B29" s="9">
        <f t="shared" ref="B29:AG29" ca="1" si="34">B17/B$20</f>
        <v>0.19955536456346815</v>
      </c>
      <c r="C29" s="9">
        <f t="shared" ca="1" si="34"/>
        <v>1.5561012537803388E-2</v>
      </c>
      <c r="D29" s="9">
        <f t="shared" ca="1" si="34"/>
        <v>0.28834284217194633</v>
      </c>
      <c r="E29" s="9">
        <f t="shared" ca="1" si="34"/>
        <v>1.9057892636639675E-2</v>
      </c>
      <c r="F29" s="9">
        <f t="shared" ca="1" si="34"/>
        <v>0.39053363907321215</v>
      </c>
      <c r="G29" s="9">
        <f t="shared" ca="1" si="34"/>
        <v>0.14116668802521959</v>
      </c>
      <c r="H29" s="9">
        <f t="shared" ca="1" si="34"/>
        <v>0.25240365727831249</v>
      </c>
      <c r="I29" s="9">
        <f t="shared" ca="1" si="34"/>
        <v>0.23555643707513726</v>
      </c>
      <c r="J29" s="9">
        <f t="shared" ca="1" si="34"/>
        <v>0.10449491053806267</v>
      </c>
      <c r="K29" s="9">
        <f t="shared" ca="1" si="34"/>
        <v>0.45273343683585726</v>
      </c>
      <c r="L29" s="9">
        <f t="shared" ca="1" si="34"/>
        <v>8.9834134931021506E-2</v>
      </c>
      <c r="M29" s="9">
        <f t="shared" ca="1" si="34"/>
        <v>0.3144236764495324</v>
      </c>
      <c r="N29" s="9">
        <f t="shared" ca="1" si="34"/>
        <v>0.26935063745119137</v>
      </c>
      <c r="O29" s="9">
        <f t="shared" ca="1" si="34"/>
        <v>0.23984485681842241</v>
      </c>
      <c r="P29" s="9">
        <f t="shared" ca="1" si="34"/>
        <v>0.1043824882182425</v>
      </c>
      <c r="Q29" s="9">
        <f t="shared" ca="1" si="34"/>
        <v>7.3972845449494562E-2</v>
      </c>
      <c r="R29" s="9">
        <f t="shared" ca="1" si="34"/>
        <v>0.24504183278510788</v>
      </c>
      <c r="S29" s="9">
        <f t="shared" ca="1" si="34"/>
        <v>0.26551126285453847</v>
      </c>
      <c r="T29" s="9">
        <f t="shared" ca="1" si="34"/>
        <v>3.6361726256575479E-3</v>
      </c>
      <c r="U29" s="9">
        <f t="shared" ca="1" si="34"/>
        <v>1.7287161407221446E-2</v>
      </c>
      <c r="V29" s="9">
        <f t="shared" ca="1" si="34"/>
        <v>0.32483403386149517</v>
      </c>
      <c r="W29" s="9">
        <f t="shared" ca="1" si="34"/>
        <v>0.16723098684024035</v>
      </c>
      <c r="X29" s="9">
        <f t="shared" ca="1" si="34"/>
        <v>0.3787448473947933</v>
      </c>
      <c r="Y29" s="9">
        <f t="shared" ca="1" si="34"/>
        <v>0.29093031020952398</v>
      </c>
      <c r="Z29" s="9">
        <f t="shared" ca="1" si="34"/>
        <v>0.11921778803053329</v>
      </c>
      <c r="AA29" s="9">
        <f t="shared" ca="1" si="34"/>
        <v>0.27745376244750919</v>
      </c>
      <c r="AB29" s="9">
        <f t="shared" ca="1" si="34"/>
        <v>0.36115371827566001</v>
      </c>
      <c r="AC29" s="9">
        <f t="shared" ca="1" si="34"/>
        <v>0.18447229739062487</v>
      </c>
      <c r="AD29" s="9">
        <f t="shared" ca="1" si="34"/>
        <v>0.43320987153721052</v>
      </c>
      <c r="AE29" s="9">
        <f t="shared" ca="1" si="34"/>
        <v>7.7868304121558818E-2</v>
      </c>
      <c r="AF29" s="9">
        <f t="shared" ca="1" si="34"/>
        <v>0.16313237115205415</v>
      </c>
      <c r="AG29" s="9">
        <f t="shared" ca="1" si="34"/>
        <v>7.2670876198848624E-3</v>
      </c>
      <c r="AH29" s="9">
        <f t="shared" ref="AH29:AY29" ca="1" si="35">AH17/AH$20</f>
        <v>8.3731684351919744E-2</v>
      </c>
      <c r="AI29" s="9">
        <f t="shared" ca="1" si="35"/>
        <v>0.46866523180492026</v>
      </c>
      <c r="AJ29" s="9">
        <f t="shared" ca="1" si="35"/>
        <v>0.19012312749670199</v>
      </c>
      <c r="AK29" s="9">
        <f t="shared" ca="1" si="35"/>
        <v>4.7480393104682279E-2</v>
      </c>
      <c r="AL29" s="9">
        <f t="shared" ca="1" si="35"/>
        <v>0.14300180953324179</v>
      </c>
      <c r="AM29" s="9">
        <f t="shared" ca="1" si="35"/>
        <v>0.61148616204774664</v>
      </c>
      <c r="AN29" s="9">
        <f t="shared" ca="1" si="35"/>
        <v>0.21145103732138254</v>
      </c>
      <c r="AO29" s="9">
        <f t="shared" ca="1" si="35"/>
        <v>8.792792636004261E-2</v>
      </c>
      <c r="AP29" s="9">
        <f t="shared" ca="1" si="35"/>
        <v>0.53906972019018262</v>
      </c>
      <c r="AQ29" s="9">
        <f t="shared" ca="1" si="35"/>
        <v>3.5629840783410922E-3</v>
      </c>
      <c r="AR29" s="9">
        <f t="shared" ca="1" si="35"/>
        <v>0.70328067735856936</v>
      </c>
      <c r="AS29" s="9">
        <f t="shared" ca="1" si="35"/>
        <v>7.7386927276039325E-2</v>
      </c>
      <c r="AT29" s="9">
        <f t="shared" ca="1" si="35"/>
        <v>0.22498716376179009</v>
      </c>
      <c r="AU29" s="9">
        <f t="shared" ca="1" si="35"/>
        <v>0.57141107807571734</v>
      </c>
      <c r="AV29" s="9">
        <f t="shared" ca="1" si="35"/>
        <v>0.15471881939856394</v>
      </c>
      <c r="AW29" s="9">
        <f t="shared" ca="1" si="35"/>
        <v>0.3513514977563989</v>
      </c>
      <c r="AX29" s="9">
        <f t="shared" ca="1" si="35"/>
        <v>7.3724428294648842E-2</v>
      </c>
      <c r="AY29" s="9">
        <f t="shared" ca="1" si="35"/>
        <v>0.17972416377342451</v>
      </c>
      <c r="CZ29" s="18"/>
      <c r="DA29" s="18"/>
      <c r="DB29" s="18"/>
      <c r="DC29" s="18"/>
      <c r="DF29" s="18"/>
      <c r="DG29" s="18"/>
      <c r="DH29" s="18"/>
      <c r="DI29" s="18"/>
    </row>
    <row r="30" spans="1:113">
      <c r="A30" s="4">
        <f t="shared" ref="A30:A31" si="36">A29+1</f>
        <v>2</v>
      </c>
      <c r="B30" s="9">
        <f t="shared" ref="B30:AG30" ca="1" si="37">B18/B$20</f>
        <v>0.55932677436409317</v>
      </c>
      <c r="C30" s="9">
        <f t="shared" ca="1" si="37"/>
        <v>1.8525636258331923E-2</v>
      </c>
      <c r="D30" s="9">
        <f t="shared" ca="1" si="37"/>
        <v>6.9408106255194351E-5</v>
      </c>
      <c r="E30" s="9">
        <f t="shared" ca="1" si="37"/>
        <v>0.10997714345297606</v>
      </c>
      <c r="F30" s="9">
        <f t="shared" ca="1" si="37"/>
        <v>5.0686650614554284E-3</v>
      </c>
      <c r="G30" s="9">
        <f t="shared" ca="1" si="37"/>
        <v>0.20550091711300089</v>
      </c>
      <c r="H30" s="9">
        <f t="shared" ca="1" si="37"/>
        <v>1.0470092434018793E-2</v>
      </c>
      <c r="I30" s="9">
        <f t="shared" ca="1" si="37"/>
        <v>0.15830400792853622</v>
      </c>
      <c r="J30" s="9">
        <f t="shared" ca="1" si="37"/>
        <v>0.10560470775331544</v>
      </c>
      <c r="K30" s="9">
        <f t="shared" ca="1" si="37"/>
        <v>4.9794272138100809E-2</v>
      </c>
      <c r="L30" s="9">
        <f t="shared" ca="1" si="37"/>
        <v>7.9750687778345278E-2</v>
      </c>
      <c r="M30" s="9">
        <f t="shared" ca="1" si="37"/>
        <v>4.4840859921813699E-2</v>
      </c>
      <c r="N30" s="9">
        <f t="shared" ca="1" si="37"/>
        <v>0.17886445314781405</v>
      </c>
      <c r="O30" s="9">
        <f t="shared" ca="1" si="37"/>
        <v>0.11129028610571787</v>
      </c>
      <c r="P30" s="9">
        <f t="shared" ca="1" si="37"/>
        <v>0.15027149533351669</v>
      </c>
      <c r="Q30" s="9">
        <f t="shared" ca="1" si="37"/>
        <v>5.209762477079264E-2</v>
      </c>
      <c r="R30" s="9">
        <f t="shared" ca="1" si="37"/>
        <v>3.4904429047822677E-2</v>
      </c>
      <c r="S30" s="9">
        <f t="shared" ca="1" si="37"/>
        <v>0.12468332168187884</v>
      </c>
      <c r="T30" s="9">
        <f t="shared" ca="1" si="37"/>
        <v>0.15135259444987431</v>
      </c>
      <c r="U30" s="9">
        <f t="shared" ca="1" si="37"/>
        <v>4.0689214733976312E-4</v>
      </c>
      <c r="V30" s="9">
        <f t="shared" ca="1" si="37"/>
        <v>8.2227149298834696E-3</v>
      </c>
      <c r="W30" s="9">
        <f t="shared" ca="1" si="37"/>
        <v>0.10021604182833391</v>
      </c>
      <c r="X30" s="9">
        <f t="shared" ca="1" si="37"/>
        <v>1.1713008762403073E-2</v>
      </c>
      <c r="Y30" s="9">
        <f t="shared" ca="1" si="37"/>
        <v>0.10011315600143833</v>
      </c>
      <c r="Z30" s="9">
        <f t="shared" ca="1" si="37"/>
        <v>0.10753083217465863</v>
      </c>
      <c r="AA30" s="9">
        <f t="shared" ca="1" si="37"/>
        <v>1.863923830871839E-2</v>
      </c>
      <c r="AB30" s="9">
        <f t="shared" ca="1" si="37"/>
        <v>0.17567136128129521</v>
      </c>
      <c r="AC30" s="9">
        <f t="shared" ca="1" si="37"/>
        <v>0.12555049799198575</v>
      </c>
      <c r="AD30" s="9">
        <f t="shared" ca="1" si="37"/>
        <v>0.12627564307440872</v>
      </c>
      <c r="AE30" s="9">
        <f t="shared" ca="1" si="37"/>
        <v>0.10003702583525649</v>
      </c>
      <c r="AF30" s="9">
        <f t="shared" ca="1" si="37"/>
        <v>1.8525445069725671E-2</v>
      </c>
      <c r="AG30" s="9">
        <f t="shared" ca="1" si="37"/>
        <v>2.5341723747886531E-2</v>
      </c>
      <c r="AH30" s="9">
        <f t="shared" ref="AH30:AY30" ca="1" si="38">AH18/AH$20</f>
        <v>4.2967721842236718E-3</v>
      </c>
      <c r="AI30" s="9">
        <f t="shared" ca="1" si="38"/>
        <v>4.5915885004231563E-2</v>
      </c>
      <c r="AJ30" s="9">
        <f t="shared" ca="1" si="38"/>
        <v>0.17298800701451295</v>
      </c>
      <c r="AK30" s="9">
        <f t="shared" ca="1" si="38"/>
        <v>7.8511950405326131E-2</v>
      </c>
      <c r="AL30" s="9">
        <f t="shared" ca="1" si="38"/>
        <v>7.1991895293521749E-3</v>
      </c>
      <c r="AM30" s="9">
        <f t="shared" ca="1" si="38"/>
        <v>3.4954064250332172E-4</v>
      </c>
      <c r="AN30" s="9">
        <f t="shared" ca="1" si="38"/>
        <v>0.1533962150461417</v>
      </c>
      <c r="AO30" s="9">
        <f t="shared" ca="1" si="38"/>
        <v>6.3041070626929888E-2</v>
      </c>
      <c r="AP30" s="9">
        <f t="shared" ca="1" si="38"/>
        <v>5.403125165696334E-2</v>
      </c>
      <c r="AQ30" s="9">
        <f t="shared" ca="1" si="38"/>
        <v>7.5411028482250952E-2</v>
      </c>
      <c r="AR30" s="9">
        <f t="shared" ca="1" si="38"/>
        <v>3.3813347793276729E-3</v>
      </c>
      <c r="AS30" s="9">
        <f t="shared" ca="1" si="38"/>
        <v>3.4068118516519894E-3</v>
      </c>
      <c r="AT30" s="9">
        <f t="shared" ca="1" si="38"/>
        <v>6.5617309471526386E-4</v>
      </c>
      <c r="AU30" s="9">
        <f t="shared" ca="1" si="38"/>
        <v>0.13256375084910105</v>
      </c>
      <c r="AV30" s="9">
        <f t="shared" ca="1" si="38"/>
        <v>0.18418012363741124</v>
      </c>
      <c r="AW30" s="9">
        <f t="shared" ca="1" si="38"/>
        <v>4.8958797029194805E-2</v>
      </c>
      <c r="AX30" s="9">
        <f t="shared" ca="1" si="38"/>
        <v>0.14637718166965452</v>
      </c>
      <c r="AY30" s="9">
        <f t="shared" ca="1" si="38"/>
        <v>2.7458743469241379E-2</v>
      </c>
      <c r="CZ30" s="18"/>
      <c r="DA30" s="18"/>
      <c r="DB30" s="18"/>
      <c r="DC30" s="18"/>
      <c r="DF30" s="18"/>
      <c r="DG30" s="18"/>
      <c r="DH30" s="18"/>
      <c r="DI30" s="18"/>
    </row>
    <row r="31" spans="1:113">
      <c r="A31" s="4">
        <f t="shared" si="36"/>
        <v>3</v>
      </c>
      <c r="B31" s="9">
        <f t="shared" ref="B31:AG31" ca="1" si="39">B19/B$20</f>
        <v>0.1635333634105377</v>
      </c>
      <c r="C31" s="9">
        <f t="shared" ca="1" si="39"/>
        <v>0.28453333723202984</v>
      </c>
      <c r="D31" s="9">
        <f t="shared" ca="1" si="39"/>
        <v>9.0117319255056429E-3</v>
      </c>
      <c r="E31" s="9">
        <f t="shared" ca="1" si="39"/>
        <v>3.7887779129134865E-5</v>
      </c>
      <c r="F31" s="9">
        <f t="shared" ca="1" si="39"/>
        <v>4.2915872971606331E-2</v>
      </c>
      <c r="G31" s="9">
        <f t="shared" ca="1" si="39"/>
        <v>2.9019953042586318E-3</v>
      </c>
      <c r="H31" s="9">
        <f t="shared" ca="1" si="39"/>
        <v>2.7225775927891247E-2</v>
      </c>
      <c r="I31" s="9">
        <f t="shared" ca="1" si="39"/>
        <v>7.519981686637903E-3</v>
      </c>
      <c r="J31" s="9">
        <f t="shared" ca="1" si="39"/>
        <v>8.0685976810693172E-2</v>
      </c>
      <c r="K31" s="9">
        <f t="shared" ca="1" si="39"/>
        <v>1.9250274118063904E-2</v>
      </c>
      <c r="L31" s="9">
        <f t="shared" ca="1" si="39"/>
        <v>3.62394309874094E-2</v>
      </c>
      <c r="M31" s="9">
        <f t="shared" ca="1" si="39"/>
        <v>1.370481409246113E-2</v>
      </c>
      <c r="N31" s="9">
        <f t="shared" ca="1" si="39"/>
        <v>3.7864901821999621E-2</v>
      </c>
      <c r="O31" s="9">
        <f t="shared" ca="1" si="39"/>
        <v>8.4333280284500434E-2</v>
      </c>
      <c r="P31" s="9">
        <f t="shared" ca="1" si="39"/>
        <v>8.7054626343140984E-2</v>
      </c>
      <c r="Q31" s="9">
        <f t="shared" ca="1" si="39"/>
        <v>6.6950667361615659E-2</v>
      </c>
      <c r="R31" s="9">
        <f t="shared" ca="1" si="39"/>
        <v>1.7969388190083316E-2</v>
      </c>
      <c r="S31" s="9">
        <f t="shared" ca="1" si="39"/>
        <v>1.1285921248936509E-2</v>
      </c>
      <c r="T31" s="9">
        <f t="shared" ca="1" si="39"/>
        <v>6.4628736157861827E-2</v>
      </c>
      <c r="U31" s="9">
        <f t="shared" ca="1" si="39"/>
        <v>4.981872327171398E-2</v>
      </c>
      <c r="V31" s="9">
        <f t="shared" ca="1" si="39"/>
        <v>1.318725828820539E-4</v>
      </c>
      <c r="W31" s="9">
        <f t="shared" ca="1" si="39"/>
        <v>4.2232332977497917E-3</v>
      </c>
      <c r="X31" s="9">
        <f t="shared" ca="1" si="39"/>
        <v>1.8910777665836927E-3</v>
      </c>
      <c r="Y31" s="9">
        <f t="shared" ca="1" si="39"/>
        <v>7.5714403985896531E-3</v>
      </c>
      <c r="Z31" s="9">
        <f t="shared" ca="1" si="39"/>
        <v>5.1818782729498684E-2</v>
      </c>
      <c r="AA31" s="9">
        <f t="shared" ca="1" si="39"/>
        <v>5.2142478232493454E-3</v>
      </c>
      <c r="AB31" s="9">
        <f t="shared" ca="1" si="39"/>
        <v>1.0485676784869833E-2</v>
      </c>
      <c r="AC31" s="9">
        <f t="shared" ca="1" si="39"/>
        <v>6.6874295298743544E-2</v>
      </c>
      <c r="AD31" s="9">
        <f t="shared" ca="1" si="39"/>
        <v>5.3171767998320955E-2</v>
      </c>
      <c r="AE31" s="9">
        <f t="shared" ca="1" si="39"/>
        <v>3.4904929879388341E-2</v>
      </c>
      <c r="AF31" s="9">
        <f t="shared" ca="1" si="39"/>
        <v>1.0548454532579173E-3</v>
      </c>
      <c r="AG31" s="9">
        <f t="shared" ca="1" si="39"/>
        <v>3.5621854125391914E-3</v>
      </c>
      <c r="AH31" s="9">
        <f t="shared" ref="AH31:AY31" ca="1" si="40">AH19/AH$20</f>
        <v>1.2760056912519916E-2</v>
      </c>
      <c r="AI31" s="9">
        <f t="shared" ca="1" si="40"/>
        <v>1.2919206281569561E-3</v>
      </c>
      <c r="AJ31" s="9">
        <f t="shared" ca="1" si="40"/>
        <v>4.8598106812080084E-3</v>
      </c>
      <c r="AK31" s="9">
        <f t="shared" ca="1" si="40"/>
        <v>0.12066492723973227</v>
      </c>
      <c r="AL31" s="9">
        <f t="shared" ca="1" si="40"/>
        <v>6.8336746260444061E-3</v>
      </c>
      <c r="AM31" s="9">
        <f t="shared" ca="1" si="40"/>
        <v>4.670412594362002E-3</v>
      </c>
      <c r="AN31" s="9">
        <f t="shared" ca="1" si="40"/>
        <v>1.4365356626437164E-4</v>
      </c>
      <c r="AO31" s="9">
        <f t="shared" ca="1" si="40"/>
        <v>6.5629206897042894E-2</v>
      </c>
      <c r="AP31" s="9">
        <f t="shared" ca="1" si="40"/>
        <v>8.6833175085894044E-3</v>
      </c>
      <c r="AQ31" s="9">
        <f t="shared" ca="1" si="40"/>
        <v>8.89624191996281E-3</v>
      </c>
      <c r="AR31" s="9">
        <f t="shared" ca="1" si="40"/>
        <v>4.9469276360108401E-2</v>
      </c>
      <c r="AS31" s="9">
        <f t="shared" ca="1" si="40"/>
        <v>1.3777813081086393E-3</v>
      </c>
      <c r="AT31" s="9">
        <f t="shared" ca="1" si="40"/>
        <v>1.7846331678166075E-3</v>
      </c>
      <c r="AU31" s="9">
        <f t="shared" ca="1" si="40"/>
        <v>1.0669139620759935E-4</v>
      </c>
      <c r="AV31" s="9">
        <f t="shared" ca="1" si="40"/>
        <v>5.7809166557225587E-2</v>
      </c>
      <c r="AW31" s="9">
        <f t="shared" ca="1" si="40"/>
        <v>4.6196749939369133E-2</v>
      </c>
      <c r="AX31" s="9">
        <f t="shared" ca="1" si="40"/>
        <v>3.3657012027902652E-2</v>
      </c>
      <c r="AY31" s="9">
        <f t="shared" ca="1" si="40"/>
        <v>7.959498310974561E-2</v>
      </c>
      <c r="CZ31" s="18"/>
      <c r="DA31" s="18"/>
      <c r="DB31" s="18"/>
      <c r="DC31" s="18"/>
      <c r="DF31" s="18"/>
      <c r="DG31" s="18"/>
      <c r="DH31" s="18"/>
      <c r="DI31" s="18"/>
    </row>
    <row r="32" spans="1:113">
      <c r="CZ32" s="18"/>
      <c r="DA32" s="18"/>
      <c r="DB32" s="18"/>
      <c r="DC32" s="18"/>
      <c r="DF32" s="18"/>
      <c r="DG32" s="18"/>
      <c r="DH32" s="18"/>
      <c r="DI32" s="18"/>
    </row>
    <row r="33" spans="1:113" ht="15">
      <c r="A33" s="15" t="s">
        <v>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Z33" s="18"/>
      <c r="DA33" s="18"/>
      <c r="DB33" s="18"/>
      <c r="DC33" s="18"/>
      <c r="DF33" s="18"/>
      <c r="DG33" s="18"/>
      <c r="DH33" s="18"/>
      <c r="DI33" s="18"/>
    </row>
    <row r="34" spans="1:113">
      <c r="A34" s="4">
        <v>0</v>
      </c>
      <c r="B34" s="6">
        <f ca="1">ABS(B23-B28)</f>
        <v>0.32744072763051496</v>
      </c>
      <c r="C34" s="6">
        <f t="shared" ref="C34:AY37" ca="1" si="41">ABS(C23-C28)</f>
        <v>0.14682566713408429</v>
      </c>
      <c r="D34" s="6">
        <f t="shared" ca="1" si="41"/>
        <v>6.8333267600977909E-2</v>
      </c>
      <c r="E34" s="6">
        <f t="shared" ca="1" si="41"/>
        <v>2.2004494639859873E-2</v>
      </c>
      <c r="F34" s="6">
        <f t="shared" ca="1" si="41"/>
        <v>1.1124179917656463E-3</v>
      </c>
      <c r="G34" s="6">
        <f t="shared" ca="1" si="41"/>
        <v>5.1946729010350357E-3</v>
      </c>
      <c r="H34" s="6">
        <f t="shared" ca="1" si="41"/>
        <v>1.3486938778508595E-3</v>
      </c>
      <c r="I34" s="6">
        <f t="shared" ca="1" si="41"/>
        <v>8.3167784269611023E-4</v>
      </c>
      <c r="J34" s="6">
        <f t="shared" ca="1" si="41"/>
        <v>2.9859080736738264E-4</v>
      </c>
      <c r="K34" s="6">
        <f t="shared" ca="1" si="41"/>
        <v>2.9636097864077504E-4</v>
      </c>
      <c r="L34" s="6">
        <f t="shared" ca="1" si="41"/>
        <v>2.8253237808084641E-5</v>
      </c>
      <c r="M34" s="6">
        <f t="shared" ca="1" si="41"/>
        <v>3.3204362984595726E-5</v>
      </c>
      <c r="N34" s="6">
        <f t="shared" ca="1" si="41"/>
        <v>1.5565175042975277E-5</v>
      </c>
      <c r="O34" s="6">
        <f t="shared" ca="1" si="41"/>
        <v>1.01573848054759E-5</v>
      </c>
      <c r="P34" s="6">
        <f t="shared" ca="1" si="41"/>
        <v>7.2831563469044625E-6</v>
      </c>
      <c r="Q34" s="6">
        <f t="shared" ca="1" si="41"/>
        <v>2.7195870799801014E-7</v>
      </c>
      <c r="R34" s="6">
        <f t="shared" ca="1" si="41"/>
        <v>7.9207007397386064E-7</v>
      </c>
      <c r="S34" s="6">
        <f t="shared" ca="1" si="41"/>
        <v>1.3265799125861122E-7</v>
      </c>
      <c r="T34" s="6">
        <f t="shared" ca="1" si="41"/>
        <v>1.4816499893655077E-7</v>
      </c>
      <c r="U34" s="6">
        <f t="shared" ca="1" si="41"/>
        <v>5.2831598207347952E-8</v>
      </c>
      <c r="V34" s="6">
        <f t="shared" ca="1" si="41"/>
        <v>1.9994416788904346E-8</v>
      </c>
      <c r="W34" s="6">
        <f t="shared" ca="1" si="41"/>
        <v>1.4652957736061012E-9</v>
      </c>
      <c r="X34" s="6">
        <f t="shared" ca="1" si="41"/>
        <v>1.0060544619605594E-9</v>
      </c>
      <c r="Y34" s="6">
        <f t="shared" ca="1" si="41"/>
        <v>5.3233417673936856E-11</v>
      </c>
      <c r="Z34" s="6">
        <f t="shared" ca="1" si="41"/>
        <v>6.322786738621744E-11</v>
      </c>
      <c r="AA34" s="6">
        <f t="shared" ca="1" si="41"/>
        <v>1.7333579016565182E-11</v>
      </c>
      <c r="AB34" s="6">
        <f t="shared" ca="1" si="41"/>
        <v>7.3647199450022072E-12</v>
      </c>
      <c r="AC34" s="6">
        <f t="shared" ca="1" si="41"/>
        <v>2.5490720645393594E-13</v>
      </c>
      <c r="AD34" s="6">
        <f t="shared" ca="1" si="41"/>
        <v>3.1963320878958257E-12</v>
      </c>
      <c r="AE34" s="6">
        <f t="shared" ca="1" si="41"/>
        <v>1.1568523916594131E-13</v>
      </c>
      <c r="AF34" s="6">
        <f t="shared" ca="1" si="41"/>
        <v>1.2922996006636822E-13</v>
      </c>
      <c r="AG34" s="6">
        <f t="shared" ca="1" si="41"/>
        <v>2.4424906541753444E-14</v>
      </c>
      <c r="AH34" s="6">
        <f t="shared" ca="1" si="41"/>
        <v>4.7739590058881731E-15</v>
      </c>
      <c r="AI34" s="6">
        <f t="shared" ca="1" si="41"/>
        <v>1.1657341758564144E-15</v>
      </c>
      <c r="AJ34" s="6">
        <f t="shared" ca="1" si="41"/>
        <v>5.5511151231257827E-16</v>
      </c>
      <c r="AK34" s="6">
        <f t="shared" ca="1" si="41"/>
        <v>3.3306690738754696E-16</v>
      </c>
      <c r="AL34" s="6">
        <f t="shared" ca="1" si="41"/>
        <v>2.2204460492503131E-16</v>
      </c>
      <c r="AM34" s="6">
        <f t="shared" ca="1" si="41"/>
        <v>2.2204460492503131E-16</v>
      </c>
      <c r="AN34" s="6">
        <f t="shared" ca="1" si="41"/>
        <v>1.1102230246251565E-16</v>
      </c>
      <c r="AO34" s="6">
        <f t="shared" ca="1" si="41"/>
        <v>1.1102230246251565E-16</v>
      </c>
      <c r="AP34" s="6">
        <f t="shared" ca="1" si="41"/>
        <v>1.6653345369377348E-16</v>
      </c>
      <c r="AQ34" s="6">
        <f t="shared" ca="1" si="41"/>
        <v>0</v>
      </c>
      <c r="AR34" s="6">
        <f t="shared" ca="1" si="41"/>
        <v>2.7755575615628914E-17</v>
      </c>
      <c r="AS34" s="6">
        <f t="shared" ca="1" si="41"/>
        <v>2.2204460492503131E-16</v>
      </c>
      <c r="AT34" s="6">
        <f t="shared" ca="1" si="41"/>
        <v>1.1102230246251565E-16</v>
      </c>
      <c r="AU34" s="6">
        <f t="shared" ca="1" si="41"/>
        <v>5.5511151231257827E-17</v>
      </c>
      <c r="AV34" s="6">
        <f t="shared" ca="1" si="41"/>
        <v>0</v>
      </c>
      <c r="AW34" s="6">
        <f t="shared" ca="1" si="41"/>
        <v>0</v>
      </c>
      <c r="AX34" s="6">
        <f t="shared" ca="1" si="41"/>
        <v>1.1102230246251565E-16</v>
      </c>
      <c r="AY34" s="6">
        <f t="shared" ca="1" si="41"/>
        <v>2.2204460492503131E-16</v>
      </c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Z34" s="18"/>
      <c r="DA34" s="18"/>
      <c r="DB34" s="18"/>
      <c r="DC34" s="18"/>
      <c r="DF34" s="18"/>
      <c r="DG34" s="18"/>
      <c r="DH34" s="18"/>
      <c r="DI34" s="18"/>
    </row>
    <row r="35" spans="1:113">
      <c r="A35" s="4">
        <f>A34+1</f>
        <v>1</v>
      </c>
      <c r="B35" s="6">
        <f t="shared" ref="B35:Q37" ca="1" si="42">ABS(B24-B29)</f>
        <v>0.13081350556966828</v>
      </c>
      <c r="C35" s="6">
        <f t="shared" ca="1" si="42"/>
        <v>6.5674321824577969E-2</v>
      </c>
      <c r="D35" s="6">
        <f t="shared" ca="1" si="42"/>
        <v>6.2132920392619639E-2</v>
      </c>
      <c r="E35" s="6">
        <f t="shared" ca="1" si="42"/>
        <v>1.8535902798603558E-3</v>
      </c>
      <c r="F35" s="6">
        <f t="shared" ca="1" si="42"/>
        <v>9.8670664894752735E-3</v>
      </c>
      <c r="G35" s="6">
        <f t="shared" ca="1" si="42"/>
        <v>2.796820078482809E-4</v>
      </c>
      <c r="H35" s="6">
        <f t="shared" ca="1" si="42"/>
        <v>2.0158258892538083E-3</v>
      </c>
      <c r="I35" s="6">
        <f t="shared" ca="1" si="42"/>
        <v>4.4751840017870359E-4</v>
      </c>
      <c r="J35" s="6">
        <f t="shared" ca="1" si="42"/>
        <v>1.4517751447472305E-4</v>
      </c>
      <c r="K35" s="6">
        <f t="shared" ca="1" si="42"/>
        <v>1.906081454260411E-4</v>
      </c>
      <c r="L35" s="6">
        <f t="shared" ca="1" si="42"/>
        <v>5.5671489814779207E-5</v>
      </c>
      <c r="M35" s="6">
        <f t="shared" ca="1" si="42"/>
        <v>1.1185794762169632E-5</v>
      </c>
      <c r="N35" s="6">
        <f t="shared" ca="1" si="42"/>
        <v>1.4263443649298324E-5</v>
      </c>
      <c r="O35" s="6">
        <f t="shared" ca="1" si="42"/>
        <v>7.2642184084370509E-6</v>
      </c>
      <c r="P35" s="6">
        <f t="shared" ca="1" si="42"/>
        <v>1.8781112401250466E-6</v>
      </c>
      <c r="Q35" s="6">
        <f t="shared" ca="1" si="42"/>
        <v>8.1841538096538713E-7</v>
      </c>
      <c r="R35" s="6">
        <f t="shared" ca="1" si="41"/>
        <v>8.2581171984008606E-8</v>
      </c>
      <c r="S35" s="6">
        <f t="shared" ca="1" si="41"/>
        <v>2.9954167990453584E-7</v>
      </c>
      <c r="T35" s="6">
        <f t="shared" ca="1" si="41"/>
        <v>8.0593424468811126E-10</v>
      </c>
      <c r="U35" s="6">
        <f t="shared" ca="1" si="41"/>
        <v>3.2821754238077094E-9</v>
      </c>
      <c r="V35" s="6">
        <f t="shared" ca="1" si="41"/>
        <v>1.8404006818517615E-8</v>
      </c>
      <c r="W35" s="6">
        <f t="shared" ca="1" si="41"/>
        <v>5.0144405849827933E-9</v>
      </c>
      <c r="X35" s="6">
        <f t="shared" ca="1" si="41"/>
        <v>7.6198070075861324E-10</v>
      </c>
      <c r="Y35" s="6">
        <f t="shared" ca="1" si="41"/>
        <v>4.8167736466098177E-10</v>
      </c>
      <c r="Z35" s="6">
        <f t="shared" ca="1" si="41"/>
        <v>1.0552891893667038E-11</v>
      </c>
      <c r="AA35" s="6">
        <f t="shared" ca="1" si="41"/>
        <v>2.4316548774550029E-11</v>
      </c>
      <c r="AB35" s="6">
        <f t="shared" ca="1" si="41"/>
        <v>8.9597218533299383E-12</v>
      </c>
      <c r="AC35" s="6">
        <f t="shared" ca="1" si="41"/>
        <v>3.0011826357423388E-12</v>
      </c>
      <c r="AD35" s="6">
        <f t="shared" ca="1" si="41"/>
        <v>1.7713608357894373E-13</v>
      </c>
      <c r="AE35" s="6">
        <f t="shared" ca="1" si="41"/>
        <v>6.4255545328961716E-13</v>
      </c>
      <c r="AF35" s="6">
        <f t="shared" ca="1" si="41"/>
        <v>2.3953061756287752E-14</v>
      </c>
      <c r="AG35" s="6">
        <f t="shared" ca="1" si="41"/>
        <v>1.1492543028346347E-15</v>
      </c>
      <c r="AH35" s="6">
        <f t="shared" ca="1" si="41"/>
        <v>2.1094237467877974E-15</v>
      </c>
      <c r="AI35" s="6">
        <f t="shared" ca="1" si="41"/>
        <v>2.4980018054066022E-15</v>
      </c>
      <c r="AJ35" s="6">
        <f t="shared" ca="1" si="41"/>
        <v>4.7184478546569153E-16</v>
      </c>
      <c r="AK35" s="6">
        <f t="shared" ca="1" si="41"/>
        <v>3.4694469519536142E-17</v>
      </c>
      <c r="AL35" s="6">
        <f t="shared" ca="1" si="41"/>
        <v>5.5511151231257827E-17</v>
      </c>
      <c r="AM35" s="6">
        <f t="shared" ca="1" si="41"/>
        <v>1.1102230246251565E-16</v>
      </c>
      <c r="AN35" s="6">
        <f t="shared" ca="1" si="41"/>
        <v>8.3266726846886741E-17</v>
      </c>
      <c r="AO35" s="6">
        <f t="shared" ca="1" si="41"/>
        <v>0</v>
      </c>
      <c r="AP35" s="6">
        <f t="shared" ca="1" si="41"/>
        <v>0</v>
      </c>
      <c r="AQ35" s="6">
        <f t="shared" ca="1" si="41"/>
        <v>4.3368086899420177E-19</v>
      </c>
      <c r="AR35" s="6">
        <f t="shared" ca="1" si="41"/>
        <v>1.1102230246251565E-16</v>
      </c>
      <c r="AS35" s="6">
        <f t="shared" ca="1" si="41"/>
        <v>2.7755575615628914E-17</v>
      </c>
      <c r="AT35" s="6">
        <f t="shared" ca="1" si="41"/>
        <v>2.7755575615628914E-17</v>
      </c>
      <c r="AU35" s="6">
        <f t="shared" ca="1" si="41"/>
        <v>0</v>
      </c>
      <c r="AV35" s="6">
        <f t="shared" ca="1" si="41"/>
        <v>2.7755575615628914E-17</v>
      </c>
      <c r="AW35" s="6">
        <f t="shared" ca="1" si="41"/>
        <v>5.5511151231257827E-17</v>
      </c>
      <c r="AX35" s="6">
        <f t="shared" ca="1" si="41"/>
        <v>1.3877787807814457E-17</v>
      </c>
      <c r="AY35" s="6">
        <f t="shared" ca="1" si="41"/>
        <v>0</v>
      </c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Z35" s="18"/>
      <c r="DA35" s="18"/>
      <c r="DB35" s="18"/>
      <c r="DC35" s="18"/>
      <c r="DF35" s="18"/>
      <c r="DG35" s="18"/>
      <c r="DH35" s="18"/>
      <c r="DI35" s="18"/>
    </row>
    <row r="36" spans="1:113">
      <c r="A36" s="4">
        <f t="shared" ref="A36:A37" si="43">A35+1</f>
        <v>2</v>
      </c>
      <c r="B36" s="6">
        <f t="shared" ca="1" si="42"/>
        <v>0.44159818868522566</v>
      </c>
      <c r="C36" s="6">
        <f t="shared" ca="1" si="41"/>
        <v>1.2144015407264053E-2</v>
      </c>
      <c r="D36" s="6">
        <f t="shared" ca="1" si="41"/>
        <v>2.9293275719457763E-4</v>
      </c>
      <c r="E36" s="6">
        <f t="shared" ca="1" si="41"/>
        <v>2.3698181816133465E-2</v>
      </c>
      <c r="F36" s="6">
        <f t="shared" ca="1" si="41"/>
        <v>4.929835878977936E-4</v>
      </c>
      <c r="G36" s="6">
        <f t="shared" ca="1" si="41"/>
        <v>5.1921038546489939E-3</v>
      </c>
      <c r="H36" s="6">
        <f t="shared" ca="1" si="41"/>
        <v>2.0743537411460969E-5</v>
      </c>
      <c r="I36" s="6">
        <f t="shared" ca="1" si="41"/>
        <v>1.2642975184908312E-3</v>
      </c>
      <c r="J36" s="6">
        <f t="shared" ca="1" si="41"/>
        <v>2.0063153633975706E-4</v>
      </c>
      <c r="K36" s="6">
        <f t="shared" ca="1" si="41"/>
        <v>6.9180485698913663E-5</v>
      </c>
      <c r="L36" s="6">
        <f t="shared" ca="1" si="41"/>
        <v>3.3576337546706303E-5</v>
      </c>
      <c r="M36" s="6">
        <f t="shared" ca="1" si="41"/>
        <v>2.7788518009788654E-5</v>
      </c>
      <c r="N36" s="6">
        <f t="shared" ca="1" si="41"/>
        <v>6.3632010342262735E-6</v>
      </c>
      <c r="O36" s="6">
        <f t="shared" ca="1" si="41"/>
        <v>5.8933691027968083E-6</v>
      </c>
      <c r="P36" s="6">
        <f t="shared" ca="1" si="41"/>
        <v>4.55129610507643E-6</v>
      </c>
      <c r="Q36" s="6">
        <f t="shared" ca="1" si="41"/>
        <v>9.3737116575731694E-7</v>
      </c>
      <c r="R36" s="6">
        <f t="shared" ca="1" si="41"/>
        <v>3.8617308044386345E-7</v>
      </c>
      <c r="S36" s="6">
        <f t="shared" ca="1" si="41"/>
        <v>4.2019334858811597E-8</v>
      </c>
      <c r="T36" s="6">
        <f t="shared" ca="1" si="41"/>
        <v>1.7075136443667205E-7</v>
      </c>
      <c r="U36" s="6">
        <f t="shared" ca="1" si="41"/>
        <v>9.0185023999492936E-11</v>
      </c>
      <c r="V36" s="6">
        <f t="shared" ca="1" si="41"/>
        <v>1.5611812849425366E-9</v>
      </c>
      <c r="W36" s="6">
        <f t="shared" ca="1" si="41"/>
        <v>5.6779048268618126E-9</v>
      </c>
      <c r="X36" s="6">
        <f t="shared" ca="1" si="41"/>
        <v>3.5121592786846456E-10</v>
      </c>
      <c r="Y36" s="6">
        <f t="shared" ca="1" si="41"/>
        <v>2.0141341372514887E-10</v>
      </c>
      <c r="Z36" s="6">
        <f t="shared" ca="1" si="41"/>
        <v>1.7803290786044812E-10</v>
      </c>
      <c r="AA36" s="6">
        <f t="shared" ca="1" si="41"/>
        <v>1.6499059063423971E-12</v>
      </c>
      <c r="AB36" s="6">
        <f t="shared" ca="1" si="41"/>
        <v>1.5396156571867436E-11</v>
      </c>
      <c r="AC36" s="6">
        <f t="shared" ca="1" si="41"/>
        <v>3.1147306955858767E-12</v>
      </c>
      <c r="AD36" s="6">
        <f t="shared" ca="1" si="41"/>
        <v>2.0543844403420053E-12</v>
      </c>
      <c r="AE36" s="6">
        <f t="shared" ca="1" si="41"/>
        <v>4.0911718457437019E-14</v>
      </c>
      <c r="AF36" s="6">
        <f t="shared" ca="1" si="41"/>
        <v>1.5287077159698015E-13</v>
      </c>
      <c r="AG36" s="6">
        <f t="shared" ca="1" si="41"/>
        <v>3.7157776855423208E-15</v>
      </c>
      <c r="AH36" s="6">
        <f t="shared" ca="1" si="41"/>
        <v>6.7827687910693157E-16</v>
      </c>
      <c r="AI36" s="6">
        <f t="shared" ca="1" si="41"/>
        <v>1.1587952819525071E-15</v>
      </c>
      <c r="AJ36" s="6">
        <f t="shared" ca="1" si="41"/>
        <v>9.1593399531575415E-16</v>
      </c>
      <c r="AK36" s="6">
        <f t="shared" ca="1" si="41"/>
        <v>2.0816681711721685E-16</v>
      </c>
      <c r="AL36" s="6">
        <f t="shared" ca="1" si="41"/>
        <v>5.2041704279304213E-18</v>
      </c>
      <c r="AM36" s="6">
        <f t="shared" ca="1" si="41"/>
        <v>1.6263032587282567E-19</v>
      </c>
      <c r="AN36" s="6">
        <f t="shared" ca="1" si="41"/>
        <v>2.7755575615628914E-17</v>
      </c>
      <c r="AO36" s="6">
        <f t="shared" ca="1" si="41"/>
        <v>4.163336342344337E-17</v>
      </c>
      <c r="AP36" s="6">
        <f t="shared" ca="1" si="41"/>
        <v>6.9388939039072284E-18</v>
      </c>
      <c r="AQ36" s="6">
        <f t="shared" ca="1" si="41"/>
        <v>1.3877787807814457E-17</v>
      </c>
      <c r="AR36" s="6">
        <f t="shared" ca="1" si="41"/>
        <v>8.6736173798840355E-19</v>
      </c>
      <c r="AS36" s="6">
        <f t="shared" ca="1" si="41"/>
        <v>8.6736173798840355E-19</v>
      </c>
      <c r="AT36" s="6">
        <f t="shared" ca="1" si="41"/>
        <v>2.1684043449710089E-19</v>
      </c>
      <c r="AU36" s="6">
        <f t="shared" ca="1" si="41"/>
        <v>2.7755575615628914E-17</v>
      </c>
      <c r="AV36" s="6">
        <f t="shared" ca="1" si="41"/>
        <v>2.7755575615628914E-17</v>
      </c>
      <c r="AW36" s="6">
        <f t="shared" ca="1" si="41"/>
        <v>1.3877787807814457E-17</v>
      </c>
      <c r="AX36" s="6">
        <f t="shared" ca="1" si="41"/>
        <v>5.5511151231257827E-17</v>
      </c>
      <c r="AY36" s="6">
        <f t="shared" ca="1" si="41"/>
        <v>0</v>
      </c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Z36" s="18"/>
      <c r="DA36" s="18"/>
      <c r="DB36" s="18"/>
      <c r="DC36" s="18"/>
      <c r="DF36" s="18"/>
      <c r="DG36" s="18"/>
      <c r="DH36" s="18"/>
      <c r="DI36" s="18"/>
    </row>
    <row r="37" spans="1:113">
      <c r="A37" s="4">
        <f t="shared" si="43"/>
        <v>3</v>
      </c>
      <c r="B37" s="6">
        <f t="shared" ca="1" si="42"/>
        <v>1.6656044514957696E-2</v>
      </c>
      <c r="C37" s="6">
        <f t="shared" ca="1" si="41"/>
        <v>0.22464400436592635</v>
      </c>
      <c r="D37" s="6">
        <f t="shared" ca="1" si="41"/>
        <v>5.9074144511637918E-3</v>
      </c>
      <c r="E37" s="6">
        <f t="shared" ca="1" si="41"/>
        <v>1.5990310358663694E-4</v>
      </c>
      <c r="F37" s="6">
        <f t="shared" ca="1" si="41"/>
        <v>9.2476320856076377E-3</v>
      </c>
      <c r="G37" s="6">
        <f t="shared" ca="1" si="41"/>
        <v>2.8225105423422287E-4</v>
      </c>
      <c r="H37" s="6">
        <f t="shared" ca="1" si="41"/>
        <v>6.8787554881463014E-4</v>
      </c>
      <c r="I37" s="6">
        <f t="shared" ca="1" si="41"/>
        <v>1.4898724384079798E-5</v>
      </c>
      <c r="J37" s="6">
        <f t="shared" ca="1" si="41"/>
        <v>6.4439985818184886E-4</v>
      </c>
      <c r="K37" s="6">
        <f t="shared" ca="1" si="41"/>
        <v>3.6572347515896608E-5</v>
      </c>
      <c r="L37" s="6">
        <f t="shared" ca="1" si="41"/>
        <v>5.0348390076032645E-5</v>
      </c>
      <c r="M37" s="6">
        <f t="shared" ca="1" si="41"/>
        <v>5.7699497872931715E-6</v>
      </c>
      <c r="N37" s="6">
        <f t="shared" ca="1" si="41"/>
        <v>2.3465417658234677E-5</v>
      </c>
      <c r="O37" s="6">
        <f t="shared" ca="1" si="41"/>
        <v>3.0002027059244929E-6</v>
      </c>
      <c r="P37" s="6">
        <f t="shared" ca="1" si="41"/>
        <v>4.6099714817865456E-6</v>
      </c>
      <c r="Q37" s="6">
        <f t="shared" ca="1" si="41"/>
        <v>2.0277452548178587E-6</v>
      </c>
      <c r="R37" s="6">
        <f t="shared" ca="1" si="41"/>
        <v>3.2331582158762195E-7</v>
      </c>
      <c r="S37" s="6">
        <f t="shared" ca="1" si="41"/>
        <v>1.2486435369864213E-7</v>
      </c>
      <c r="T37" s="6">
        <f t="shared" ca="1" si="41"/>
        <v>2.1780431180840054E-8</v>
      </c>
      <c r="U37" s="6">
        <f t="shared" ca="1" si="41"/>
        <v>5.6203958730127734E-8</v>
      </c>
      <c r="V37" s="6">
        <f t="shared" ca="1" si="41"/>
        <v>2.9228708727435312E-11</v>
      </c>
      <c r="W37" s="6">
        <f t="shared" ca="1" si="41"/>
        <v>8.0183161586117047E-10</v>
      </c>
      <c r="X37" s="6">
        <f t="shared" ca="1" si="41"/>
        <v>1.0714212394895284E-10</v>
      </c>
      <c r="Y37" s="6">
        <f t="shared" ca="1" si="41"/>
        <v>2.2703051938410823E-10</v>
      </c>
      <c r="Z37" s="6">
        <f t="shared" ca="1" si="41"/>
        <v>1.0425200286379166E-10</v>
      </c>
      <c r="AA37" s="6">
        <f t="shared" ca="1" si="41"/>
        <v>8.6329450532662833E-12</v>
      </c>
      <c r="AB37" s="6">
        <f t="shared" ca="1" si="41"/>
        <v>9.2816899999181857E-13</v>
      </c>
      <c r="AC37" s="6">
        <f t="shared" ca="1" si="41"/>
        <v>5.8609783692986639E-12</v>
      </c>
      <c r="AD37" s="6">
        <f t="shared" ca="1" si="41"/>
        <v>1.3191184256022837E-12</v>
      </c>
      <c r="AE37" s="6">
        <f t="shared" ca="1" si="41"/>
        <v>5.6786519930795976E-13</v>
      </c>
      <c r="AF37" s="6">
        <f t="shared" ca="1" si="41"/>
        <v>4.3151246464923076E-16</v>
      </c>
      <c r="AG37" s="6">
        <f t="shared" ca="1" si="41"/>
        <v>2.9394889300426996E-14</v>
      </c>
      <c r="AH37" s="6">
        <f t="shared" ca="1" si="41"/>
        <v>1.8682971836270212E-15</v>
      </c>
      <c r="AI37" s="6">
        <f t="shared" ca="1" si="41"/>
        <v>2.0383000842727483E-16</v>
      </c>
      <c r="AJ37" s="6">
        <f t="shared" ca="1" si="41"/>
        <v>1.222980050563649E-16</v>
      </c>
      <c r="AK37" s="6">
        <f t="shared" ca="1" si="41"/>
        <v>6.5225602696727947E-16</v>
      </c>
      <c r="AL37" s="6">
        <f t="shared" ca="1" si="41"/>
        <v>1.8214596497756474E-17</v>
      </c>
      <c r="AM37" s="6">
        <f t="shared" ca="1" si="41"/>
        <v>2.6020852139652106E-18</v>
      </c>
      <c r="AN37" s="6">
        <f t="shared" ca="1" si="41"/>
        <v>8.1315162936412833E-20</v>
      </c>
      <c r="AO37" s="6">
        <f t="shared" ca="1" si="41"/>
        <v>1.3877787807814457E-17</v>
      </c>
      <c r="AP37" s="6">
        <f t="shared" ca="1" si="41"/>
        <v>5.2041704279304213E-18</v>
      </c>
      <c r="AQ37" s="6">
        <f t="shared" ca="1" si="41"/>
        <v>0</v>
      </c>
      <c r="AR37" s="6">
        <f t="shared" ca="1" si="41"/>
        <v>1.3877787807814457E-17</v>
      </c>
      <c r="AS37" s="6">
        <f t="shared" ca="1" si="41"/>
        <v>1.0842021724855044E-18</v>
      </c>
      <c r="AT37" s="6">
        <f t="shared" ca="1" si="41"/>
        <v>8.6736173798840355E-19</v>
      </c>
      <c r="AU37" s="6">
        <f t="shared" ca="1" si="41"/>
        <v>4.0657581468206416E-20</v>
      </c>
      <c r="AV37" s="6">
        <f t="shared" ca="1" si="41"/>
        <v>6.9388939039072284E-18</v>
      </c>
      <c r="AW37" s="6">
        <f t="shared" ca="1" si="41"/>
        <v>0</v>
      </c>
      <c r="AX37" s="6">
        <f t="shared" ca="1" si="41"/>
        <v>1.3877787807814457E-17</v>
      </c>
      <c r="AY37" s="6">
        <f t="shared" ca="1" si="41"/>
        <v>4.163336342344337E-17</v>
      </c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Z37" s="18"/>
      <c r="DA37" s="18"/>
      <c r="DB37" s="18"/>
      <c r="DC37" s="18"/>
      <c r="DF37" s="18"/>
      <c r="DG37" s="18"/>
      <c r="DH37" s="18"/>
      <c r="DI37" s="18"/>
    </row>
    <row r="38" spans="1:113">
      <c r="CZ38" s="18"/>
      <c r="DA38" s="18"/>
      <c r="DB38" s="18"/>
      <c r="DC38" s="18"/>
      <c r="DF38" s="18"/>
      <c r="DG38" s="18"/>
      <c r="DH38" s="18"/>
      <c r="DI38" s="18"/>
    </row>
    <row r="39" spans="1:113">
      <c r="CZ39" s="18"/>
      <c r="DA39" s="18"/>
      <c r="DB39" s="18"/>
      <c r="DC39" s="18"/>
      <c r="DF39" s="18"/>
      <c r="DG39" s="18"/>
      <c r="DH39" s="18"/>
      <c r="DI39" s="18"/>
    </row>
    <row r="40" spans="1:113">
      <c r="CZ40" s="18"/>
      <c r="DA40" s="18"/>
      <c r="DB40" s="18"/>
      <c r="DC40" s="18"/>
      <c r="DF40" s="18"/>
      <c r="DG40" s="18"/>
      <c r="DH40" s="18"/>
      <c r="DI40" s="18"/>
    </row>
    <row r="41" spans="1:113">
      <c r="CZ41" s="18"/>
      <c r="DA41" s="18"/>
      <c r="DB41" s="18"/>
      <c r="DC41" s="18"/>
      <c r="DF41" s="18"/>
      <c r="DG41" s="18"/>
      <c r="DH41" s="18"/>
      <c r="DI41" s="18"/>
    </row>
    <row r="42" spans="1:113">
      <c r="CZ42" s="18"/>
      <c r="DA42" s="18"/>
      <c r="DB42" s="18"/>
      <c r="DC42" s="18"/>
      <c r="DF42" s="18"/>
      <c r="DG42" s="18"/>
      <c r="DH42" s="18"/>
      <c r="DI42" s="18"/>
    </row>
    <row r="43" spans="1:113">
      <c r="CZ43" s="18"/>
      <c r="DA43" s="18"/>
      <c r="DB43" s="18"/>
      <c r="DC43" s="18"/>
      <c r="DF43" s="18"/>
      <c r="DG43" s="18"/>
      <c r="DH43" s="18"/>
      <c r="DI43" s="18"/>
    </row>
    <row r="44" spans="1:113">
      <c r="CZ44" s="18"/>
      <c r="DA44" s="18"/>
      <c r="DB44" s="18"/>
      <c r="DC44" s="18"/>
      <c r="DF44" s="18"/>
      <c r="DG44" s="18"/>
      <c r="DH44" s="18"/>
      <c r="DI44" s="18"/>
    </row>
    <row r="45" spans="1:113">
      <c r="CZ45" s="18"/>
      <c r="DA45" s="18"/>
      <c r="DB45" s="18"/>
      <c r="DC45" s="18"/>
      <c r="DF45" s="18"/>
      <c r="DG45" s="18"/>
      <c r="DH45" s="18"/>
      <c r="DI45" s="18"/>
    </row>
    <row r="46" spans="1:113">
      <c r="CZ46" s="18"/>
      <c r="DA46" s="18"/>
      <c r="DB46" s="18"/>
      <c r="DC46" s="18"/>
      <c r="DF46" s="18"/>
      <c r="DG46" s="18"/>
      <c r="DH46" s="18"/>
      <c r="DI46" s="18"/>
    </row>
    <row r="47" spans="1:113">
      <c r="CZ47" s="18"/>
      <c r="DA47" s="18"/>
      <c r="DB47" s="18"/>
      <c r="DC47" s="18"/>
      <c r="DF47" s="18"/>
      <c r="DG47" s="18"/>
      <c r="DH47" s="18"/>
      <c r="DI47" s="18"/>
    </row>
    <row r="48" spans="1:113">
      <c r="CZ48" s="18"/>
      <c r="DA48" s="18"/>
      <c r="DB48" s="18"/>
      <c r="DC48" s="18"/>
      <c r="DF48" s="18"/>
      <c r="DG48" s="18"/>
      <c r="DH48" s="18"/>
      <c r="DI48" s="18"/>
    </row>
    <row r="49" spans="104:113">
      <c r="CZ49" s="18"/>
      <c r="DA49" s="18"/>
      <c r="DB49" s="18"/>
      <c r="DC49" s="18"/>
      <c r="DF49" s="18"/>
      <c r="DG49" s="18"/>
      <c r="DH49" s="18"/>
      <c r="DI49" s="18"/>
    </row>
    <row r="50" spans="104:113">
      <c r="CZ50" s="18"/>
      <c r="DA50" s="18"/>
      <c r="DB50" s="18"/>
      <c r="DC50" s="18"/>
      <c r="DF50" s="18"/>
      <c r="DG50" s="18"/>
      <c r="DH50" s="18"/>
      <c r="DI50" s="18"/>
    </row>
    <row r="51" spans="104:113">
      <c r="CZ51" s="18"/>
      <c r="DA51" s="18"/>
      <c r="DB51" s="18"/>
      <c r="DC51" s="18"/>
      <c r="DF51" s="18"/>
      <c r="DG51" s="18"/>
      <c r="DH51" s="18"/>
      <c r="DI51" s="18"/>
    </row>
    <row r="52" spans="104:113">
      <c r="CZ52" s="18"/>
      <c r="DA52" s="18"/>
      <c r="DB52" s="18"/>
      <c r="DC52" s="18"/>
      <c r="DF52" s="18"/>
      <c r="DG52" s="18"/>
      <c r="DH52" s="18"/>
      <c r="DI52" s="18"/>
    </row>
    <row r="53" spans="104:113">
      <c r="CZ53" s="18"/>
      <c r="DA53" s="18"/>
      <c r="DB53" s="18"/>
      <c r="DC53" s="18"/>
      <c r="DF53" s="18"/>
      <c r="DG53" s="18"/>
      <c r="DH53" s="18"/>
      <c r="DI53" s="18"/>
    </row>
    <row r="54" spans="104:113">
      <c r="CZ54" s="18"/>
      <c r="DA54" s="18"/>
      <c r="DB54" s="18"/>
      <c r="DC54" s="18"/>
      <c r="DF54" s="18"/>
      <c r="DG54" s="18"/>
      <c r="DH54" s="18"/>
      <c r="DI54" s="18"/>
    </row>
    <row r="55" spans="104:113">
      <c r="CZ55" s="18"/>
      <c r="DA55" s="18"/>
      <c r="DB55" s="18"/>
      <c r="DC55" s="18"/>
      <c r="DF55" s="18"/>
      <c r="DG55" s="18"/>
      <c r="DH55" s="18"/>
      <c r="DI55" s="18"/>
    </row>
    <row r="56" spans="104:113">
      <c r="CZ56" s="18"/>
      <c r="DA56" s="18"/>
      <c r="DB56" s="18"/>
      <c r="DC56" s="18"/>
      <c r="DF56" s="18"/>
      <c r="DG56" s="18"/>
      <c r="DH56" s="18"/>
      <c r="DI56" s="18"/>
    </row>
    <row r="57" spans="104:113">
      <c r="CZ57" s="18"/>
      <c r="DA57" s="18"/>
      <c r="DB57" s="18"/>
      <c r="DC57" s="18"/>
      <c r="DF57" s="18"/>
      <c r="DG57" s="18"/>
      <c r="DH57" s="18"/>
      <c r="DI57" s="18"/>
    </row>
    <row r="58" spans="104:113">
      <c r="CZ58" s="18"/>
      <c r="DA58" s="18"/>
      <c r="DB58" s="18"/>
      <c r="DC58" s="18"/>
      <c r="DF58" s="18"/>
      <c r="DG58" s="18"/>
      <c r="DH58" s="18"/>
      <c r="DI58" s="18"/>
    </row>
    <row r="59" spans="104:113">
      <c r="CZ59" s="18"/>
      <c r="DA59" s="18"/>
      <c r="DB59" s="18"/>
      <c r="DC59" s="18"/>
      <c r="DF59" s="18"/>
      <c r="DG59" s="18"/>
      <c r="DH59" s="18"/>
      <c r="DI59" s="18"/>
    </row>
    <row r="60" spans="104:113">
      <c r="CZ60" s="18"/>
      <c r="DA60" s="18"/>
      <c r="DB60" s="18"/>
      <c r="DC60" s="18"/>
      <c r="DF60" s="18"/>
      <c r="DG60" s="18"/>
      <c r="DH60" s="18"/>
      <c r="DI60" s="18"/>
    </row>
    <row r="61" spans="104:113">
      <c r="CZ61" s="18"/>
      <c r="DA61" s="18"/>
      <c r="DB61" s="18"/>
      <c r="DC61" s="18"/>
      <c r="DF61" s="18"/>
      <c r="DG61" s="18"/>
      <c r="DH61" s="18"/>
      <c r="DI61" s="18"/>
    </row>
    <row r="62" spans="104:113">
      <c r="CZ62" s="18"/>
      <c r="DA62" s="18"/>
      <c r="DB62" s="18"/>
      <c r="DC62" s="18"/>
      <c r="DF62" s="18"/>
      <c r="DG62" s="18"/>
      <c r="DH62" s="18"/>
      <c r="DI62" s="18"/>
    </row>
    <row r="63" spans="104:113">
      <c r="CZ63" s="18"/>
      <c r="DA63" s="18"/>
      <c r="DB63" s="18"/>
      <c r="DC63" s="18"/>
      <c r="DF63" s="18"/>
      <c r="DG63" s="18"/>
      <c r="DH63" s="18"/>
      <c r="DI63" s="18"/>
    </row>
    <row r="64" spans="104:113">
      <c r="CZ64" s="18"/>
      <c r="DA64" s="18"/>
      <c r="DB64" s="18"/>
      <c r="DC64" s="18"/>
      <c r="DF64" s="18"/>
      <c r="DG64" s="18"/>
      <c r="DH64" s="18"/>
      <c r="DI64" s="18"/>
    </row>
    <row r="65" spans="104:113">
      <c r="CZ65" s="18"/>
      <c r="DA65" s="18"/>
      <c r="DB65" s="18"/>
      <c r="DC65" s="18"/>
      <c r="DF65" s="18"/>
      <c r="DG65" s="18"/>
      <c r="DH65" s="18"/>
      <c r="DI65" s="18"/>
    </row>
    <row r="66" spans="104:113">
      <c r="CZ66" s="18"/>
      <c r="DA66" s="18"/>
      <c r="DB66" s="18"/>
      <c r="DC66" s="18"/>
      <c r="DF66" s="18"/>
      <c r="DG66" s="18"/>
      <c r="DH66" s="18"/>
      <c r="DI66" s="18"/>
    </row>
    <row r="67" spans="104:113">
      <c r="CZ67" s="18"/>
      <c r="DA67" s="18"/>
      <c r="DB67" s="18"/>
      <c r="DC67" s="18"/>
      <c r="DF67" s="18"/>
      <c r="DG67" s="18"/>
      <c r="DH67" s="18"/>
      <c r="DI67" s="18"/>
    </row>
    <row r="68" spans="104:113">
      <c r="CZ68" s="18"/>
      <c r="DA68" s="18"/>
      <c r="DB68" s="18"/>
      <c r="DC68" s="18"/>
      <c r="DF68" s="18"/>
      <c r="DG68" s="18"/>
      <c r="DH68" s="18"/>
      <c r="DI68" s="18"/>
    </row>
    <row r="69" spans="104:113">
      <c r="CZ69" s="18"/>
      <c r="DA69" s="18"/>
      <c r="DB69" s="18"/>
      <c r="DC69" s="18"/>
      <c r="DF69" s="18"/>
      <c r="DG69" s="18"/>
      <c r="DH69" s="18"/>
      <c r="DI69" s="18"/>
    </row>
    <row r="70" spans="104:113">
      <c r="CZ70" s="18"/>
      <c r="DA70" s="18"/>
      <c r="DB70" s="18"/>
      <c r="DC70" s="18"/>
      <c r="DF70" s="18"/>
      <c r="DG70" s="18"/>
      <c r="DH70" s="18"/>
      <c r="DI70" s="18"/>
    </row>
    <row r="71" spans="104:113">
      <c r="CZ71" s="18"/>
      <c r="DA71" s="18"/>
      <c r="DB71" s="18"/>
      <c r="DC71" s="18"/>
      <c r="DF71" s="18"/>
      <c r="DG71" s="18"/>
      <c r="DH71" s="18"/>
      <c r="DI71" s="18"/>
    </row>
    <row r="72" spans="104:113">
      <c r="CZ72" s="18"/>
      <c r="DA72" s="18"/>
      <c r="DB72" s="18"/>
      <c r="DC72" s="18"/>
      <c r="DF72" s="18"/>
      <c r="DG72" s="18"/>
      <c r="DH72" s="18"/>
      <c r="DI72" s="18"/>
    </row>
    <row r="73" spans="104:113">
      <c r="CZ73" s="18"/>
      <c r="DA73" s="18"/>
      <c r="DB73" s="18"/>
      <c r="DC73" s="18"/>
      <c r="DF73" s="18"/>
      <c r="DG73" s="18"/>
      <c r="DH73" s="18"/>
      <c r="DI73" s="18"/>
    </row>
    <row r="74" spans="104:113">
      <c r="CZ74" s="18"/>
      <c r="DA74" s="18"/>
      <c r="DB74" s="18"/>
      <c r="DC74" s="18"/>
      <c r="DF74" s="18"/>
      <c r="DG74" s="18"/>
      <c r="DH74" s="18"/>
      <c r="DI74" s="18"/>
    </row>
    <row r="75" spans="104:113">
      <c r="CZ75" s="18"/>
      <c r="DA75" s="18"/>
      <c r="DB75" s="18"/>
      <c r="DC75" s="18"/>
      <c r="DF75" s="18"/>
      <c r="DG75" s="18"/>
      <c r="DH75" s="18"/>
      <c r="DI75" s="18"/>
    </row>
    <row r="76" spans="104:113">
      <c r="CZ76" s="18"/>
      <c r="DA76" s="18"/>
      <c r="DB76" s="18"/>
      <c r="DC76" s="18"/>
      <c r="DF76" s="18"/>
      <c r="DG76" s="18"/>
      <c r="DH76" s="18"/>
      <c r="DI76" s="18"/>
    </row>
    <row r="77" spans="104:113">
      <c r="CZ77" s="18"/>
      <c r="DA77" s="18"/>
      <c r="DB77" s="18"/>
      <c r="DC77" s="18"/>
      <c r="DF77" s="18"/>
      <c r="DG77" s="18"/>
      <c r="DH77" s="18"/>
      <c r="DI77" s="18"/>
    </row>
    <row r="78" spans="104:113">
      <c r="CZ78" s="18"/>
      <c r="DA78" s="18"/>
      <c r="DB78" s="18"/>
      <c r="DC78" s="18"/>
      <c r="DF78" s="18"/>
      <c r="DG78" s="18"/>
      <c r="DH78" s="18"/>
      <c r="DI78" s="18"/>
    </row>
    <row r="79" spans="104:113">
      <c r="CZ79" s="18"/>
      <c r="DA79" s="18"/>
      <c r="DB79" s="18"/>
      <c r="DC79" s="18"/>
      <c r="DF79" s="18"/>
      <c r="DG79" s="18"/>
      <c r="DH79" s="18"/>
      <c r="DI79" s="18"/>
    </row>
    <row r="80" spans="104:113">
      <c r="CZ80" s="18"/>
      <c r="DA80" s="18"/>
      <c r="DB80" s="18"/>
      <c r="DC80" s="18"/>
      <c r="DF80" s="18"/>
      <c r="DG80" s="18"/>
      <c r="DH80" s="18"/>
      <c r="DI80" s="18"/>
    </row>
    <row r="81" spans="104:113">
      <c r="CZ81" s="18"/>
      <c r="DA81" s="18"/>
      <c r="DB81" s="18"/>
      <c r="DC81" s="18"/>
      <c r="DF81" s="18"/>
      <c r="DG81" s="18"/>
      <c r="DH81" s="18"/>
      <c r="DI81" s="18"/>
    </row>
    <row r="82" spans="104:113">
      <c r="CZ82" s="18"/>
      <c r="DA82" s="18"/>
      <c r="DB82" s="18"/>
      <c r="DC82" s="18"/>
      <c r="DF82" s="18"/>
      <c r="DG82" s="18"/>
      <c r="DH82" s="18"/>
      <c r="DI82" s="18"/>
    </row>
    <row r="83" spans="104:113">
      <c r="CZ83" s="18"/>
      <c r="DA83" s="18"/>
      <c r="DB83" s="18"/>
      <c r="DC83" s="18"/>
      <c r="DF83" s="18"/>
      <c r="DG83" s="18"/>
      <c r="DH83" s="18"/>
      <c r="DI83" s="18"/>
    </row>
    <row r="84" spans="104:113">
      <c r="CZ84" s="18"/>
      <c r="DA84" s="18"/>
      <c r="DB84" s="18"/>
      <c r="DC84" s="18"/>
      <c r="DF84" s="18"/>
      <c r="DG84" s="18"/>
      <c r="DH84" s="18"/>
      <c r="DI84" s="18"/>
    </row>
    <row r="85" spans="104:113">
      <c r="CZ85" s="18"/>
      <c r="DA85" s="18"/>
      <c r="DB85" s="18"/>
      <c r="DC85" s="18"/>
      <c r="DF85" s="18"/>
      <c r="DG85" s="18"/>
      <c r="DH85" s="18"/>
      <c r="DI85" s="18"/>
    </row>
    <row r="86" spans="104:113">
      <c r="CZ86" s="18"/>
      <c r="DA86" s="18"/>
      <c r="DB86" s="18"/>
      <c r="DC86" s="18"/>
      <c r="DF86" s="18"/>
      <c r="DG86" s="18"/>
      <c r="DH86" s="18"/>
      <c r="DI86" s="18"/>
    </row>
    <row r="87" spans="104:113">
      <c r="CZ87" s="18"/>
      <c r="DA87" s="18"/>
      <c r="DB87" s="18"/>
      <c r="DC87" s="18"/>
      <c r="DF87" s="18"/>
      <c r="DG87" s="18"/>
      <c r="DH87" s="18"/>
      <c r="DI87" s="18"/>
    </row>
    <row r="88" spans="104:113">
      <c r="CZ88" s="18"/>
      <c r="DA88" s="18"/>
      <c r="DB88" s="18"/>
      <c r="DC88" s="18"/>
      <c r="DF88" s="18"/>
      <c r="DG88" s="18"/>
      <c r="DH88" s="18"/>
      <c r="DI88" s="18"/>
    </row>
    <row r="89" spans="104:113">
      <c r="CZ89" s="18"/>
      <c r="DA89" s="18"/>
      <c r="DB89" s="18"/>
      <c r="DC89" s="18"/>
      <c r="DF89" s="18"/>
      <c r="DG89" s="18"/>
      <c r="DH89" s="18"/>
      <c r="DI89" s="18"/>
    </row>
    <row r="90" spans="104:113">
      <c r="CZ90" s="18"/>
      <c r="DA90" s="18"/>
      <c r="DB90" s="18"/>
      <c r="DC90" s="18"/>
      <c r="DF90" s="18"/>
      <c r="DG90" s="18"/>
      <c r="DH90" s="18"/>
      <c r="DI90" s="18"/>
    </row>
    <row r="91" spans="104:113">
      <c r="CZ91" s="18"/>
      <c r="DA91" s="18"/>
      <c r="DB91" s="18"/>
      <c r="DC91" s="18"/>
      <c r="DF91" s="18"/>
      <c r="DG91" s="18"/>
      <c r="DH91" s="18"/>
      <c r="DI91" s="18"/>
    </row>
    <row r="92" spans="104:113">
      <c r="CZ92" s="18"/>
      <c r="DA92" s="18"/>
      <c r="DB92" s="18"/>
      <c r="DC92" s="18"/>
      <c r="DF92" s="18"/>
      <c r="DG92" s="18"/>
      <c r="DH92" s="18"/>
      <c r="DI92" s="18"/>
    </row>
    <row r="93" spans="104:113">
      <c r="CZ93" s="18"/>
      <c r="DA93" s="18"/>
      <c r="DB93" s="18"/>
      <c r="DC93" s="18"/>
      <c r="DF93" s="18"/>
      <c r="DG93" s="18"/>
      <c r="DH93" s="18"/>
      <c r="DI93" s="18"/>
    </row>
    <row r="94" spans="104:113">
      <c r="CZ94" s="18"/>
      <c r="DA94" s="18"/>
      <c r="DB94" s="18"/>
      <c r="DC94" s="18"/>
      <c r="DF94" s="18"/>
      <c r="DG94" s="18"/>
      <c r="DH94" s="18"/>
      <c r="DI94" s="18"/>
    </row>
    <row r="95" spans="104:113">
      <c r="CZ95" s="18"/>
      <c r="DA95" s="18"/>
      <c r="DB95" s="18"/>
      <c r="DC95" s="18"/>
      <c r="DF95" s="18"/>
      <c r="DG95" s="18"/>
      <c r="DH95" s="18"/>
      <c r="DI95" s="18"/>
    </row>
    <row r="96" spans="104:113">
      <c r="CZ96" s="18"/>
      <c r="DA96" s="18"/>
      <c r="DB96" s="18"/>
      <c r="DC96" s="18"/>
      <c r="DF96" s="18"/>
      <c r="DG96" s="18"/>
      <c r="DH96" s="18"/>
      <c r="DI96" s="18"/>
    </row>
    <row r="97" spans="104:113">
      <c r="CZ97" s="18"/>
      <c r="DA97" s="18"/>
      <c r="DB97" s="18"/>
      <c r="DC97" s="18"/>
      <c r="DF97" s="18"/>
      <c r="DG97" s="18"/>
      <c r="DH97" s="18"/>
      <c r="DI97" s="18"/>
    </row>
    <row r="98" spans="104:113">
      <c r="CZ98" s="18"/>
      <c r="DA98" s="18"/>
      <c r="DB98" s="18"/>
      <c r="DC98" s="18"/>
      <c r="DF98" s="18"/>
      <c r="DG98" s="18"/>
      <c r="DH98" s="18"/>
      <c r="DI98" s="18"/>
    </row>
    <row r="99" spans="104:113">
      <c r="CZ99" s="18"/>
      <c r="DA99" s="18"/>
      <c r="DB99" s="18"/>
      <c r="DC99" s="18"/>
      <c r="DF99" s="18"/>
      <c r="DG99" s="18"/>
      <c r="DH99" s="18"/>
      <c r="DI99" s="18"/>
    </row>
    <row r="100" spans="104:113">
      <c r="CZ100" s="18"/>
      <c r="DA100" s="18"/>
      <c r="DB100" s="18"/>
      <c r="DC100" s="18"/>
      <c r="DF100" s="18"/>
      <c r="DG100" s="18"/>
      <c r="DH100" s="18"/>
      <c r="DI100" s="18"/>
    </row>
    <row r="101" spans="104:113">
      <c r="CZ101" s="18"/>
      <c r="DA101" s="18"/>
      <c r="DB101" s="18"/>
      <c r="DC101" s="18"/>
      <c r="DF101" s="18"/>
      <c r="DG101" s="18"/>
      <c r="DH101" s="18"/>
      <c r="DI101" s="18"/>
    </row>
    <row r="102" spans="104:113">
      <c r="CZ102" s="18"/>
      <c r="DA102" s="18"/>
      <c r="DB102" s="18"/>
      <c r="DC102" s="18"/>
      <c r="DF102" s="18"/>
      <c r="DG102" s="18"/>
      <c r="DH102" s="18"/>
      <c r="DI102" s="18"/>
    </row>
    <row r="103" spans="104:113">
      <c r="CZ103" s="18"/>
      <c r="DA103" s="18"/>
      <c r="DB103" s="18"/>
      <c r="DC103" s="18"/>
      <c r="DF103" s="18"/>
      <c r="DG103" s="18"/>
      <c r="DH103" s="18"/>
      <c r="DI103" s="18"/>
    </row>
    <row r="104" spans="104:113">
      <c r="CZ104" s="18"/>
      <c r="DA104" s="18"/>
      <c r="DB104" s="18"/>
      <c r="DC104" s="18"/>
      <c r="DF104" s="18"/>
      <c r="DG104" s="18"/>
      <c r="DH104" s="18"/>
      <c r="DI104" s="18"/>
    </row>
    <row r="105" spans="104:113">
      <c r="CZ105" s="18"/>
      <c r="DA105" s="18"/>
      <c r="DB105" s="18"/>
      <c r="DC105" s="18"/>
      <c r="DF105" s="18"/>
      <c r="DG105" s="18"/>
      <c r="DH105" s="18"/>
      <c r="DI105" s="18"/>
    </row>
    <row r="106" spans="104:113">
      <c r="CZ106" s="18"/>
      <c r="DA106" s="18"/>
      <c r="DB106" s="18"/>
      <c r="DC106" s="18"/>
      <c r="DF106" s="18"/>
      <c r="DG106" s="18"/>
      <c r="DH106" s="18"/>
      <c r="DI106" s="18"/>
    </row>
    <row r="107" spans="104:113">
      <c r="CZ107" s="18"/>
      <c r="DA107" s="18"/>
      <c r="DB107" s="18"/>
      <c r="DC107" s="18"/>
      <c r="DF107" s="18"/>
      <c r="DG107" s="18"/>
      <c r="DH107" s="18"/>
      <c r="DI107" s="18"/>
    </row>
    <row r="108" spans="104:113">
      <c r="CZ108" s="18"/>
      <c r="DA108" s="18"/>
      <c r="DB108" s="18"/>
      <c r="DC108" s="18"/>
      <c r="DF108" s="18"/>
      <c r="DG108" s="18"/>
      <c r="DH108" s="18"/>
      <c r="DI108" s="18"/>
    </row>
    <row r="109" spans="104:113">
      <c r="CZ109" s="18"/>
      <c r="DA109" s="18"/>
      <c r="DB109" s="18"/>
      <c r="DC109" s="18"/>
      <c r="DF109" s="18"/>
      <c r="DG109" s="18"/>
      <c r="DH109" s="18"/>
      <c r="DI109" s="18"/>
    </row>
    <row r="110" spans="104:113">
      <c r="CZ110" s="18"/>
      <c r="DA110" s="18"/>
      <c r="DB110" s="18"/>
      <c r="DC110" s="18"/>
      <c r="DF110" s="18"/>
      <c r="DG110" s="18"/>
      <c r="DH110" s="18"/>
      <c r="DI110" s="18"/>
    </row>
    <row r="111" spans="104:113">
      <c r="CZ111" s="18"/>
      <c r="DA111" s="18"/>
      <c r="DB111" s="18"/>
      <c r="DC111" s="18"/>
      <c r="DF111" s="18"/>
      <c r="DG111" s="18"/>
      <c r="DH111" s="18"/>
      <c r="DI111" s="18"/>
    </row>
    <row r="112" spans="104:113">
      <c r="CZ112" s="18"/>
      <c r="DA112" s="18"/>
      <c r="DB112" s="18"/>
      <c r="DC112" s="18"/>
      <c r="DF112" s="18"/>
      <c r="DG112" s="18"/>
      <c r="DH112" s="18"/>
      <c r="DI112" s="18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9"/>
  <sheetViews>
    <sheetView topLeftCell="E1" workbookViewId="0">
      <selection activeCell="O1" sqref="O1"/>
    </sheetView>
  </sheetViews>
  <sheetFormatPr baseColWidth="10" defaultRowHeight="15" x14ac:dyDescent="0"/>
  <cols>
    <col min="1" max="1" width="2.33203125" customWidth="1"/>
    <col min="8" max="8" width="2.33203125" customWidth="1"/>
  </cols>
  <sheetData>
    <row r="1" spans="2:14" ht="20">
      <c r="B1" s="19" t="s">
        <v>14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19" spans="2:14" ht="20">
      <c r="B19" s="19" t="s">
        <v>15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U110"/>
  <sheetViews>
    <sheetView zoomScale="125" zoomScaleNormal="125" zoomScalePageLayoutView="125" workbookViewId="0">
      <pane xSplit="1" ySplit="1" topLeftCell="EL2" activePane="bottomRight" state="frozen"/>
      <selection pane="topRight" activeCell="C1" sqref="C1"/>
      <selection pane="bottomLeft" activeCell="A3" sqref="A3"/>
      <selection pane="bottomRight" activeCell="EV23" sqref="EV23"/>
    </sheetView>
  </sheetViews>
  <sheetFormatPr baseColWidth="10" defaultRowHeight="14" x14ac:dyDescent="0"/>
  <cols>
    <col min="1" max="26" width="11" style="6" bestFit="1" customWidth="1"/>
    <col min="27" max="101" width="13.33203125" style="6" bestFit="1" customWidth="1"/>
    <col min="102" max="103" width="10.83203125" style="6"/>
    <col min="104" max="106" width="16" style="6" bestFit="1" customWidth="1"/>
    <col min="107" max="107" width="15.1640625" style="6" bestFit="1" customWidth="1"/>
    <col min="108" max="109" width="10.83203125" style="6"/>
    <col min="110" max="113" width="15.1640625" style="6" bestFit="1" customWidth="1"/>
    <col min="114" max="16384" width="10.83203125" style="6"/>
  </cols>
  <sheetData>
    <row r="1" spans="1:151" ht="15">
      <c r="A1" s="5"/>
      <c r="B1" s="14">
        <v>1</v>
      </c>
      <c r="C1" s="14">
        <f>B1+1</f>
        <v>2</v>
      </c>
      <c r="D1" s="14">
        <f t="shared" ref="D1:AY1" si="0">C1+1</f>
        <v>3</v>
      </c>
      <c r="E1" s="14">
        <f t="shared" si="0"/>
        <v>4</v>
      </c>
      <c r="F1" s="14">
        <f t="shared" si="0"/>
        <v>5</v>
      </c>
      <c r="G1" s="14">
        <f t="shared" si="0"/>
        <v>6</v>
      </c>
      <c r="H1" s="14">
        <f t="shared" si="0"/>
        <v>7</v>
      </c>
      <c r="I1" s="14">
        <f t="shared" si="0"/>
        <v>8</v>
      </c>
      <c r="J1" s="14">
        <f t="shared" si="0"/>
        <v>9</v>
      </c>
      <c r="K1" s="14">
        <f t="shared" si="0"/>
        <v>10</v>
      </c>
      <c r="L1" s="14">
        <f t="shared" si="0"/>
        <v>11</v>
      </c>
      <c r="M1" s="14">
        <f t="shared" si="0"/>
        <v>12</v>
      </c>
      <c r="N1" s="14">
        <f t="shared" si="0"/>
        <v>13</v>
      </c>
      <c r="O1" s="14">
        <f t="shared" si="0"/>
        <v>14</v>
      </c>
      <c r="P1" s="14">
        <f t="shared" si="0"/>
        <v>15</v>
      </c>
      <c r="Q1" s="14">
        <f t="shared" si="0"/>
        <v>16</v>
      </c>
      <c r="R1" s="14">
        <f t="shared" si="0"/>
        <v>17</v>
      </c>
      <c r="S1" s="14">
        <f t="shared" si="0"/>
        <v>18</v>
      </c>
      <c r="T1" s="14">
        <f t="shared" si="0"/>
        <v>19</v>
      </c>
      <c r="U1" s="14">
        <f t="shared" si="0"/>
        <v>20</v>
      </c>
      <c r="V1" s="14">
        <f t="shared" si="0"/>
        <v>21</v>
      </c>
      <c r="W1" s="14">
        <f t="shared" si="0"/>
        <v>22</v>
      </c>
      <c r="X1" s="14">
        <f t="shared" si="0"/>
        <v>23</v>
      </c>
      <c r="Y1" s="14">
        <f t="shared" si="0"/>
        <v>24</v>
      </c>
      <c r="Z1" s="14">
        <f t="shared" si="0"/>
        <v>25</v>
      </c>
      <c r="AA1" s="14">
        <f t="shared" si="0"/>
        <v>26</v>
      </c>
      <c r="AB1" s="14">
        <f t="shared" si="0"/>
        <v>27</v>
      </c>
      <c r="AC1" s="14">
        <f t="shared" si="0"/>
        <v>28</v>
      </c>
      <c r="AD1" s="14">
        <f t="shared" si="0"/>
        <v>29</v>
      </c>
      <c r="AE1" s="14">
        <f t="shared" si="0"/>
        <v>30</v>
      </c>
      <c r="AF1" s="14">
        <f t="shared" si="0"/>
        <v>31</v>
      </c>
      <c r="AG1" s="14">
        <f t="shared" si="0"/>
        <v>32</v>
      </c>
      <c r="AH1" s="14">
        <f t="shared" si="0"/>
        <v>33</v>
      </c>
      <c r="AI1" s="14">
        <f t="shared" si="0"/>
        <v>34</v>
      </c>
      <c r="AJ1" s="14">
        <f t="shared" si="0"/>
        <v>35</v>
      </c>
      <c r="AK1" s="14">
        <f t="shared" si="0"/>
        <v>36</v>
      </c>
      <c r="AL1" s="14">
        <f t="shared" si="0"/>
        <v>37</v>
      </c>
      <c r="AM1" s="14">
        <f t="shared" si="0"/>
        <v>38</v>
      </c>
      <c r="AN1" s="14">
        <f t="shared" si="0"/>
        <v>39</v>
      </c>
      <c r="AO1" s="14">
        <f t="shared" si="0"/>
        <v>40</v>
      </c>
      <c r="AP1" s="14">
        <f t="shared" si="0"/>
        <v>41</v>
      </c>
      <c r="AQ1" s="14">
        <f t="shared" si="0"/>
        <v>42</v>
      </c>
      <c r="AR1" s="14">
        <f t="shared" si="0"/>
        <v>43</v>
      </c>
      <c r="AS1" s="14">
        <f t="shared" si="0"/>
        <v>44</v>
      </c>
      <c r="AT1" s="14">
        <f t="shared" si="0"/>
        <v>45</v>
      </c>
      <c r="AU1" s="14">
        <f t="shared" si="0"/>
        <v>46</v>
      </c>
      <c r="AV1" s="14">
        <f t="shared" si="0"/>
        <v>47</v>
      </c>
      <c r="AW1" s="14">
        <f t="shared" si="0"/>
        <v>48</v>
      </c>
      <c r="AX1" s="14">
        <f t="shared" si="0"/>
        <v>49</v>
      </c>
      <c r="AY1" s="14">
        <f t="shared" si="0"/>
        <v>50</v>
      </c>
      <c r="AZ1" s="14">
        <f t="shared" ref="AZ1" si="1">AY1+1</f>
        <v>51</v>
      </c>
      <c r="BA1" s="14">
        <f t="shared" ref="BA1" si="2">AZ1+1</f>
        <v>52</v>
      </c>
      <c r="BB1" s="14">
        <f t="shared" ref="BB1" si="3">BA1+1</f>
        <v>53</v>
      </c>
      <c r="BC1" s="14">
        <f t="shared" ref="BC1" si="4">BB1+1</f>
        <v>54</v>
      </c>
      <c r="BD1" s="14">
        <f t="shared" ref="BD1" si="5">BC1+1</f>
        <v>55</v>
      </c>
      <c r="BE1" s="14">
        <f t="shared" ref="BE1" si="6">BD1+1</f>
        <v>56</v>
      </c>
      <c r="BF1" s="14">
        <f t="shared" ref="BF1" si="7">BE1+1</f>
        <v>57</v>
      </c>
      <c r="BG1" s="14">
        <f t="shared" ref="BG1" si="8">BF1+1</f>
        <v>58</v>
      </c>
      <c r="BH1" s="14">
        <f t="shared" ref="BH1" si="9">BG1+1</f>
        <v>59</v>
      </c>
      <c r="BI1" s="14">
        <f t="shared" ref="BI1" si="10">BH1+1</f>
        <v>60</v>
      </c>
      <c r="BJ1" s="14">
        <f t="shared" ref="BJ1" si="11">BI1+1</f>
        <v>61</v>
      </c>
      <c r="BK1" s="14">
        <f t="shared" ref="BK1" si="12">BJ1+1</f>
        <v>62</v>
      </c>
      <c r="BL1" s="14">
        <f t="shared" ref="BL1" si="13">BK1+1</f>
        <v>63</v>
      </c>
      <c r="BM1" s="14">
        <f t="shared" ref="BM1" si="14">BL1+1</f>
        <v>64</v>
      </c>
      <c r="BN1" s="14">
        <f t="shared" ref="BN1" si="15">BM1+1</f>
        <v>65</v>
      </c>
      <c r="BO1" s="14">
        <f t="shared" ref="BO1" si="16">BN1+1</f>
        <v>66</v>
      </c>
      <c r="BP1" s="14">
        <f t="shared" ref="BP1" si="17">BO1+1</f>
        <v>67</v>
      </c>
      <c r="BQ1" s="14">
        <f t="shared" ref="BQ1" si="18">BP1+1</f>
        <v>68</v>
      </c>
      <c r="BR1" s="14">
        <f t="shared" ref="BR1" si="19">BQ1+1</f>
        <v>69</v>
      </c>
      <c r="BS1" s="14">
        <f t="shared" ref="BS1" si="20">BR1+1</f>
        <v>70</v>
      </c>
      <c r="BT1" s="14">
        <f t="shared" ref="BT1" si="21">BS1+1</f>
        <v>71</v>
      </c>
      <c r="BU1" s="14">
        <f t="shared" ref="BU1" si="22">BT1+1</f>
        <v>72</v>
      </c>
      <c r="BV1" s="14">
        <f t="shared" ref="BV1" si="23">BU1+1</f>
        <v>73</v>
      </c>
      <c r="BW1" s="14">
        <f t="shared" ref="BW1" si="24">BV1+1</f>
        <v>74</v>
      </c>
      <c r="BX1" s="14">
        <f t="shared" ref="BX1" si="25">BW1+1</f>
        <v>75</v>
      </c>
      <c r="BY1" s="14">
        <f t="shared" ref="BY1" si="26">BX1+1</f>
        <v>76</v>
      </c>
      <c r="BZ1" s="14">
        <f t="shared" ref="BZ1" si="27">BY1+1</f>
        <v>77</v>
      </c>
      <c r="CA1" s="14">
        <f t="shared" ref="CA1" si="28">BZ1+1</f>
        <v>78</v>
      </c>
      <c r="CB1" s="14">
        <f t="shared" ref="CB1" si="29">CA1+1</f>
        <v>79</v>
      </c>
      <c r="CC1" s="14">
        <f t="shared" ref="CC1" si="30">CB1+1</f>
        <v>80</v>
      </c>
      <c r="CD1" s="14">
        <f t="shared" ref="CD1" si="31">CC1+1</f>
        <v>81</v>
      </c>
      <c r="CE1" s="14">
        <f t="shared" ref="CE1" si="32">CD1+1</f>
        <v>82</v>
      </c>
      <c r="CF1" s="14">
        <f t="shared" ref="CF1" si="33">CE1+1</f>
        <v>83</v>
      </c>
      <c r="CG1" s="14">
        <f t="shared" ref="CG1" si="34">CF1+1</f>
        <v>84</v>
      </c>
      <c r="CH1" s="14">
        <f t="shared" ref="CH1" si="35">CG1+1</f>
        <v>85</v>
      </c>
      <c r="CI1" s="14">
        <f t="shared" ref="CI1" si="36">CH1+1</f>
        <v>86</v>
      </c>
      <c r="CJ1" s="14">
        <f t="shared" ref="CJ1" si="37">CI1+1</f>
        <v>87</v>
      </c>
      <c r="CK1" s="14">
        <f t="shared" ref="CK1" si="38">CJ1+1</f>
        <v>88</v>
      </c>
      <c r="CL1" s="14">
        <f t="shared" ref="CL1" si="39">CK1+1</f>
        <v>89</v>
      </c>
      <c r="CM1" s="14">
        <f t="shared" ref="CM1" si="40">CL1+1</f>
        <v>90</v>
      </c>
      <c r="CN1" s="14">
        <f t="shared" ref="CN1" si="41">CM1+1</f>
        <v>91</v>
      </c>
      <c r="CO1" s="14">
        <f t="shared" ref="CO1" si="42">CN1+1</f>
        <v>92</v>
      </c>
      <c r="CP1" s="14">
        <f t="shared" ref="CP1" si="43">CO1+1</f>
        <v>93</v>
      </c>
      <c r="CQ1" s="14">
        <f t="shared" ref="CQ1" si="44">CP1+1</f>
        <v>94</v>
      </c>
      <c r="CR1" s="14">
        <f t="shared" ref="CR1" si="45">CQ1+1</f>
        <v>95</v>
      </c>
      <c r="CS1" s="14">
        <f t="shared" ref="CS1" si="46">CR1+1</f>
        <v>96</v>
      </c>
      <c r="CT1" s="14">
        <f t="shared" ref="CT1" si="47">CS1+1</f>
        <v>97</v>
      </c>
      <c r="CU1" s="14">
        <f t="shared" ref="CU1" si="48">CT1+1</f>
        <v>98</v>
      </c>
      <c r="CV1" s="14">
        <f t="shared" ref="CV1" si="49">CU1+1</f>
        <v>99</v>
      </c>
      <c r="CW1" s="14">
        <f t="shared" ref="CW1" si="50">CV1+1</f>
        <v>100</v>
      </c>
      <c r="CX1" s="14">
        <f t="shared" ref="CX1" si="51">CW1+1</f>
        <v>101</v>
      </c>
      <c r="CY1" s="14">
        <f t="shared" ref="CY1" si="52">CX1+1</f>
        <v>102</v>
      </c>
      <c r="CZ1" s="14">
        <f t="shared" ref="CZ1" si="53">CY1+1</f>
        <v>103</v>
      </c>
      <c r="DA1" s="14">
        <f t="shared" ref="DA1" si="54">CZ1+1</f>
        <v>104</v>
      </c>
      <c r="DB1" s="14">
        <f t="shared" ref="DB1" si="55">DA1+1</f>
        <v>105</v>
      </c>
      <c r="DC1" s="14">
        <f t="shared" ref="DC1" si="56">DB1+1</f>
        <v>106</v>
      </c>
      <c r="DD1" s="14">
        <f t="shared" ref="DD1" si="57">DC1+1</f>
        <v>107</v>
      </c>
      <c r="DE1" s="14">
        <f t="shared" ref="DE1" si="58">DD1+1</f>
        <v>108</v>
      </c>
      <c r="DF1" s="14">
        <f t="shared" ref="DF1" si="59">DE1+1</f>
        <v>109</v>
      </c>
      <c r="DG1" s="14">
        <f t="shared" ref="DG1" si="60">DF1+1</f>
        <v>110</v>
      </c>
      <c r="DH1" s="14">
        <f t="shared" ref="DH1" si="61">DG1+1</f>
        <v>111</v>
      </c>
      <c r="DI1" s="14">
        <f t="shared" ref="DI1" si="62">DH1+1</f>
        <v>112</v>
      </c>
      <c r="DJ1" s="14">
        <f t="shared" ref="DJ1" si="63">DI1+1</f>
        <v>113</v>
      </c>
      <c r="DK1" s="14">
        <f t="shared" ref="DK1" si="64">DJ1+1</f>
        <v>114</v>
      </c>
      <c r="DL1" s="14">
        <f t="shared" ref="DL1" si="65">DK1+1</f>
        <v>115</v>
      </c>
      <c r="DM1" s="14">
        <f t="shared" ref="DM1" si="66">DL1+1</f>
        <v>116</v>
      </c>
      <c r="DN1" s="14">
        <f t="shared" ref="DN1" si="67">DM1+1</f>
        <v>117</v>
      </c>
      <c r="DO1" s="14">
        <f t="shared" ref="DO1" si="68">DN1+1</f>
        <v>118</v>
      </c>
      <c r="DP1" s="14">
        <f t="shared" ref="DP1" si="69">DO1+1</f>
        <v>119</v>
      </c>
      <c r="DQ1" s="14">
        <f t="shared" ref="DQ1" si="70">DP1+1</f>
        <v>120</v>
      </c>
      <c r="DR1" s="14">
        <f t="shared" ref="DR1" si="71">DQ1+1</f>
        <v>121</v>
      </c>
      <c r="DS1" s="14">
        <f t="shared" ref="DS1" si="72">DR1+1</f>
        <v>122</v>
      </c>
      <c r="DT1" s="14">
        <f t="shared" ref="DT1" si="73">DS1+1</f>
        <v>123</v>
      </c>
      <c r="DU1" s="14">
        <f t="shared" ref="DU1" si="74">DT1+1</f>
        <v>124</v>
      </c>
      <c r="DV1" s="14">
        <f t="shared" ref="DV1" si="75">DU1+1</f>
        <v>125</v>
      </c>
      <c r="DW1" s="14">
        <f t="shared" ref="DW1" si="76">DV1+1</f>
        <v>126</v>
      </c>
      <c r="DX1" s="14">
        <f t="shared" ref="DX1" si="77">DW1+1</f>
        <v>127</v>
      </c>
      <c r="DY1" s="14">
        <f t="shared" ref="DY1" si="78">DX1+1</f>
        <v>128</v>
      </c>
      <c r="DZ1" s="14">
        <f t="shared" ref="DZ1" si="79">DY1+1</f>
        <v>129</v>
      </c>
      <c r="EA1" s="14">
        <f t="shared" ref="EA1" si="80">DZ1+1</f>
        <v>130</v>
      </c>
      <c r="EB1" s="14">
        <f t="shared" ref="EB1" si="81">EA1+1</f>
        <v>131</v>
      </c>
      <c r="EC1" s="14">
        <f t="shared" ref="EC1" si="82">EB1+1</f>
        <v>132</v>
      </c>
      <c r="ED1" s="14">
        <f t="shared" ref="ED1" si="83">EC1+1</f>
        <v>133</v>
      </c>
      <c r="EE1" s="14">
        <f t="shared" ref="EE1" si="84">ED1+1</f>
        <v>134</v>
      </c>
      <c r="EF1" s="14">
        <f t="shared" ref="EF1" si="85">EE1+1</f>
        <v>135</v>
      </c>
      <c r="EG1" s="14">
        <f t="shared" ref="EG1" si="86">EF1+1</f>
        <v>136</v>
      </c>
      <c r="EH1" s="14">
        <f t="shared" ref="EH1" si="87">EG1+1</f>
        <v>137</v>
      </c>
      <c r="EI1" s="14">
        <f t="shared" ref="EI1" si="88">EH1+1</f>
        <v>138</v>
      </c>
      <c r="EJ1" s="14">
        <f t="shared" ref="EJ1" si="89">EI1+1</f>
        <v>139</v>
      </c>
      <c r="EK1" s="14">
        <f t="shared" ref="EK1" si="90">EJ1+1</f>
        <v>140</v>
      </c>
      <c r="EL1" s="14">
        <f t="shared" ref="EL1" si="91">EK1+1</f>
        <v>141</v>
      </c>
      <c r="EM1" s="14">
        <f t="shared" ref="EM1" si="92">EL1+1</f>
        <v>142</v>
      </c>
      <c r="EN1" s="14">
        <f t="shared" ref="EN1" si="93">EM1+1</f>
        <v>143</v>
      </c>
      <c r="EO1" s="14">
        <f t="shared" ref="EO1" si="94">EN1+1</f>
        <v>144</v>
      </c>
      <c r="EP1" s="14">
        <f t="shared" ref="EP1" si="95">EO1+1</f>
        <v>145</v>
      </c>
      <c r="EQ1" s="14">
        <f t="shared" ref="EQ1" si="96">EP1+1</f>
        <v>146</v>
      </c>
      <c r="ER1" s="14">
        <f t="shared" ref="ER1" si="97">EQ1+1</f>
        <v>147</v>
      </c>
      <c r="ES1" s="14">
        <f t="shared" ref="ES1" si="98">ER1+1</f>
        <v>148</v>
      </c>
      <c r="ET1" s="14">
        <f t="shared" ref="ET1" si="99">ES1+1</f>
        <v>149</v>
      </c>
      <c r="EU1" s="14">
        <f t="shared" ref="EU1" si="100">ET1+1</f>
        <v>150</v>
      </c>
    </row>
    <row r="2" spans="1:151">
      <c r="A2" s="21" t="s">
        <v>5</v>
      </c>
      <c r="B2" s="10">
        <f>Params!$C3+1/(B1^(1/2))</f>
        <v>2.0099999999999998</v>
      </c>
      <c r="C2" s="10">
        <f>Params!$C3+1/(C1^(1/2))</f>
        <v>1.7171067811865475</v>
      </c>
      <c r="D2" s="10">
        <f>Params!$C3+1/(D1^(1/2))</f>
        <v>1.587350269189626</v>
      </c>
      <c r="E2" s="10">
        <f>Params!$C3+1/(E1^(1/2))</f>
        <v>1.51</v>
      </c>
      <c r="F2" s="10">
        <f>Params!$C3+1/(F1^(1/2))</f>
        <v>1.4572135954999579</v>
      </c>
      <c r="G2" s="10">
        <f>Params!$C3+1/(G1^(1/2))</f>
        <v>1.4182482904638631</v>
      </c>
      <c r="H2" s="10">
        <f>Params!$C3+1/(H1^(1/2))</f>
        <v>1.3879644730092271</v>
      </c>
      <c r="I2" s="10">
        <f>Params!$C3+1/(I1^(1/2))</f>
        <v>1.3635533905932737</v>
      </c>
      <c r="J2" s="10">
        <f>Params!$C3+1/(J1^(1/2))</f>
        <v>1.3433333333333333</v>
      </c>
      <c r="K2" s="10">
        <f>Params!$C3+1/(K1^(1/2))</f>
        <v>1.326227766016838</v>
      </c>
      <c r="L2" s="10">
        <f>Params!$C3+1/(L1^(1/2))</f>
        <v>1.3115113445777635</v>
      </c>
      <c r="M2" s="10">
        <f>Params!$C3+1/(M1^(1/2))</f>
        <v>1.2986751345948129</v>
      </c>
      <c r="N2" s="10">
        <f>Params!$C3+1/(N1^(1/2))</f>
        <v>1.2873500981126145</v>
      </c>
      <c r="O2" s="10">
        <f>Params!$C3+1/(O1^(1/2))</f>
        <v>1.2772612419124245</v>
      </c>
      <c r="P2" s="10">
        <f>Params!$C3+1/(P1^(1/2))</f>
        <v>1.2681988897471612</v>
      </c>
      <c r="Q2" s="10">
        <f>Params!$C3+1/(Q1^(1/2))</f>
        <v>1.26</v>
      </c>
      <c r="R2" s="10">
        <f>Params!$C3+1/(R1^(1/2))</f>
        <v>1.2525356250363329</v>
      </c>
      <c r="S2" s="10">
        <f>Params!$C3+1/(S1^(1/2))</f>
        <v>1.2457022603955159</v>
      </c>
      <c r="T2" s="10">
        <f>Params!$C3+1/(T1^(1/2))</f>
        <v>1.2394157338705618</v>
      </c>
      <c r="U2" s="10">
        <f>Params!$C3+1/(U1^(1/2))</f>
        <v>1.2336067977499789</v>
      </c>
      <c r="V2" s="10">
        <f>Params!$C3+1/(V1^(1/2))</f>
        <v>1.2282178902359924</v>
      </c>
      <c r="W2" s="10">
        <f>Params!$C3+1/(W1^(1/2))</f>
        <v>1.2232007163556105</v>
      </c>
      <c r="X2" s="10">
        <f>Params!$C3+1/(X1^(1/2))</f>
        <v>1.2185144140570747</v>
      </c>
      <c r="Y2" s="10">
        <f>Params!$C3+1/(Y1^(1/2))</f>
        <v>1.2141241452319316</v>
      </c>
      <c r="Z2" s="10">
        <f>Params!$C3+1/(Z1^(1/2))</f>
        <v>1.21</v>
      </c>
      <c r="AA2" s="10">
        <f>Params!$C3+1/(AA1^(1/2))</f>
        <v>1.2061161351381839</v>
      </c>
      <c r="AB2" s="10">
        <f>Params!$C3+1/(AB1^(1/2))</f>
        <v>1.2024500897298753</v>
      </c>
      <c r="AC2" s="10">
        <f>Params!$C3+1/(AC1^(1/2))</f>
        <v>1.1989822365046137</v>
      </c>
      <c r="AD2" s="10">
        <f>Params!$C3+1/(AD1^(1/2))</f>
        <v>1.1956953381770519</v>
      </c>
      <c r="AE2" s="10">
        <f>Params!$C3+1/(AE1^(1/2))</f>
        <v>1.1925741858350554</v>
      </c>
      <c r="AF2" s="10">
        <f>Params!$C3+1/(AF1^(1/2))</f>
        <v>1.1896053020267749</v>
      </c>
      <c r="AG2" s="10">
        <f>Params!$C3+1/(AG1^(1/2))</f>
        <v>1.1867766952966368</v>
      </c>
      <c r="AH2" s="10">
        <f>Params!$C3+1/(AH1^(1/2))</f>
        <v>1.1840776559556978</v>
      </c>
      <c r="AI2" s="10">
        <f>Params!$C3+1/(AI1^(1/2))</f>
        <v>1.1814985851425088</v>
      </c>
      <c r="AJ2" s="10">
        <f>Params!$C3+1/(AJ1^(1/2))</f>
        <v>1.1790308509457033</v>
      </c>
      <c r="AK2" s="10">
        <f>Params!$C3+1/(AK1^(1/2))</f>
        <v>1.1766666666666667</v>
      </c>
      <c r="AL2" s="10">
        <f>Params!$C3+1/(AL1^(1/2))</f>
        <v>1.1743989873053573</v>
      </c>
      <c r="AM2" s="10">
        <f>Params!$C3+1/(AM1^(1/2))</f>
        <v>1.1722214211307627</v>
      </c>
      <c r="AN2" s="10">
        <f>Params!$C3+1/(AN1^(1/2))</f>
        <v>1.1701281538050872</v>
      </c>
      <c r="AO2" s="10">
        <f>Params!$C3+1/(AO1^(1/2))</f>
        <v>1.168113883008419</v>
      </c>
      <c r="AP2" s="10">
        <f>Params!$C3+1/(AP1^(1/2))</f>
        <v>1.1661737618886061</v>
      </c>
      <c r="AQ2" s="10">
        <f>Params!$C3+1/(AQ1^(1/2))</f>
        <v>1.1643033499620918</v>
      </c>
      <c r="AR2" s="10">
        <f>Params!$C3+1/(AR1^(1/2))</f>
        <v>1.1624985703326047</v>
      </c>
      <c r="AS2" s="10">
        <f>Params!$C3+1/(AS1^(1/2))</f>
        <v>1.1607556722888819</v>
      </c>
      <c r="AT2" s="10">
        <f>Params!$C3+1/(AT1^(1/2))</f>
        <v>1.159071198499986</v>
      </c>
      <c r="AU2" s="10">
        <f>Params!$C3+1/(AU1^(1/2))</f>
        <v>1.1574419561548972</v>
      </c>
      <c r="AV2" s="10">
        <f>Params!$C3+1/(AV1^(1/2))</f>
        <v>1.1558649914978947</v>
      </c>
      <c r="AW2" s="10">
        <f>Params!$C3+1/(AW1^(1/2))</f>
        <v>1.1543375672974066</v>
      </c>
      <c r="AX2" s="10">
        <f>Params!$C3+1/(AX1^(1/2))</f>
        <v>1.1528571428571428</v>
      </c>
      <c r="AY2" s="10">
        <f>Params!$C3+1/(AY1^(1/2))</f>
        <v>1.1514213562373095</v>
      </c>
      <c r="AZ2" s="10">
        <f>Params!$C3+1/(AZ1^(1/2))</f>
        <v>1.1500280084028009</v>
      </c>
      <c r="BA2" s="10">
        <f>Params!$C3+1/(BA1^(1/2))</f>
        <v>1.1486750490563074</v>
      </c>
      <c r="BB2" s="10">
        <f>Params!$C3+1/(BB1^(1/2))</f>
        <v>1.147360563948689</v>
      </c>
      <c r="BC2" s="10">
        <f>Params!$C3+1/(BC1^(1/2))</f>
        <v>1.1460827634879545</v>
      </c>
      <c r="BD2" s="10">
        <f>Params!$C3+1/(BD1^(1/2))</f>
        <v>1.1448399724926484</v>
      </c>
      <c r="BE2" s="10">
        <f>Params!$C3+1/(BE1^(1/2))</f>
        <v>1.1436306209562122</v>
      </c>
      <c r="BF2" s="10">
        <f>Params!$C3+1/(BF1^(1/2))</f>
        <v>1.1424532357065045</v>
      </c>
      <c r="BG2" s="10">
        <f>Params!$C3+1/(BG1^(1/2))</f>
        <v>1.1413064328597224</v>
      </c>
      <c r="BH2" s="10">
        <f>Params!$C3+1/(BH1^(1/2))</f>
        <v>1.1401889109808239</v>
      </c>
      <c r="BI2" s="10">
        <f>Params!$C3+1/(BI1^(1/2))</f>
        <v>1.1390994448735805</v>
      </c>
      <c r="BJ2" s="10">
        <f>Params!$C3+1/(BJ1^(1/2))</f>
        <v>1.1380368799328959</v>
      </c>
      <c r="BK2" s="10">
        <f>Params!$C3+1/(BK1^(1/2))</f>
        <v>1.1370001270001906</v>
      </c>
      <c r="BL2" s="10">
        <f>Params!$C3+1/(BL1^(1/2))</f>
        <v>1.1359881576697424</v>
      </c>
      <c r="BM2" s="10">
        <f>Params!$C3+1/(BM1^(1/2))</f>
        <v>1.135</v>
      </c>
      <c r="BN2" s="10">
        <f>Params!$C3+1/(BN1^(1/2))</f>
        <v>1.1340347345892086</v>
      </c>
      <c r="BO2" s="10">
        <f>Params!$C3+1/(BO1^(1/2))</f>
        <v>1.1330914909793328</v>
      </c>
      <c r="BP2" s="10">
        <f>Params!$C3+1/(BP1^(1/2))</f>
        <v>1.1321694443563053</v>
      </c>
      <c r="BQ2" s="10">
        <f>Params!$C3+1/(BQ1^(1/2))</f>
        <v>1.1312678125181665</v>
      </c>
      <c r="BR2" s="10">
        <f>Params!$C3+1/(BR1^(1/2))</f>
        <v>1.1303858530857691</v>
      </c>
      <c r="BS2" s="10">
        <f>Params!$C3+1/(BS1^(1/2))</f>
        <v>1.1295228609334393</v>
      </c>
      <c r="BT2" s="10">
        <f>Params!$C3+1/(BT1^(1/2))</f>
        <v>1.1286781658193854</v>
      </c>
      <c r="BU2" s="10">
        <f>Params!$C3+1/(BU1^(1/2))</f>
        <v>1.1278511301977578</v>
      </c>
      <c r="BV2" s="10">
        <f>Params!$C3+1/(BV1^(1/2))</f>
        <v>1.1270411471961306</v>
      </c>
      <c r="BW2" s="10">
        <f>Params!$C3+1/(BW1^(1/2))</f>
        <v>1.1262476387438194</v>
      </c>
      <c r="BX2" s="10">
        <f>Params!$C3+1/(BX1^(1/2))</f>
        <v>1.1254700538379252</v>
      </c>
      <c r="BY2" s="10">
        <f>Params!$C3+1/(BY1^(1/2))</f>
        <v>1.1247078669352808</v>
      </c>
      <c r="BZ2" s="10">
        <f>Params!$C3+1/(BZ1^(1/2))</f>
        <v>1.1239605764596379</v>
      </c>
      <c r="CA2" s="10">
        <f>Params!$C3+1/(CA1^(1/2))</f>
        <v>1.1232277034144595</v>
      </c>
      <c r="CB2" s="10">
        <f>Params!$C3+1/(CB1^(1/2))</f>
        <v>1.1225087900926023</v>
      </c>
      <c r="CC2" s="10">
        <f>Params!$C3+1/(CC1^(1/2))</f>
        <v>1.1218033988749896</v>
      </c>
      <c r="CD2" s="10">
        <f>Params!$C3+1/(CD1^(1/2))</f>
        <v>1.1211111111111112</v>
      </c>
      <c r="CE2" s="10">
        <f>Params!$C3+1/(CE1^(1/2))</f>
        <v>1.1204315260748465</v>
      </c>
      <c r="CF2" s="10">
        <f>Params!$C3+1/(CF1^(1/2))</f>
        <v>1.1197642599896904</v>
      </c>
      <c r="CG2" s="10">
        <f>Params!$C3+1/(CG1^(1/2))</f>
        <v>1.1191089451179963</v>
      </c>
      <c r="CH2" s="10">
        <f>Params!$C3+1/(CH1^(1/2))</f>
        <v>1.118465228909328</v>
      </c>
      <c r="CI2" s="10">
        <f>Params!$C3+1/(CI1^(1/2))</f>
        <v>1.1178327732034383</v>
      </c>
      <c r="CJ2" s="10">
        <f>Params!$C3+1/(CJ1^(1/2))</f>
        <v>1.1172112534837795</v>
      </c>
      <c r="CK2" s="10">
        <f>Params!$C3+1/(CK1^(1/2))</f>
        <v>1.1166003581778052</v>
      </c>
      <c r="CL2" s="10">
        <f>Params!$C3+1/(CL1^(1/2))</f>
        <v>1.115999788000636</v>
      </c>
      <c r="CM2" s="10">
        <f>Params!$C3+1/(CM1^(1/2))</f>
        <v>1.1154092553389461</v>
      </c>
      <c r="CN2" s="10">
        <f>Params!$C3+1/(CN1^(1/2))</f>
        <v>1.1148284836721918</v>
      </c>
      <c r="CO2" s="10">
        <f>Params!$C3+1/(CO1^(1/2))</f>
        <v>1.1142572070285375</v>
      </c>
      <c r="CP2" s="10">
        <f>Params!$C3+1/(CP1^(1/2))</f>
        <v>1.1136951694730426</v>
      </c>
      <c r="CQ2" s="10">
        <f>Params!$C3+1/(CQ1^(1/2))</f>
        <v>1.1131421246258792</v>
      </c>
      <c r="CR2" s="10">
        <f>Params!$C3+1/(CR1^(1/2))</f>
        <v>1.1125978352085155</v>
      </c>
      <c r="CS2" s="10">
        <f>Params!$C3+1/(CS1^(1/2))</f>
        <v>1.1120620726159658</v>
      </c>
      <c r="CT2" s="10">
        <f>Params!$C3+1/(CT1^(1/2))</f>
        <v>1.1115346165133619</v>
      </c>
      <c r="CU2" s="10">
        <f>Params!$C3+1/(CU1^(1/2))</f>
        <v>1.111015254455221</v>
      </c>
      <c r="CV2" s="10">
        <f>Params!$C3+1/(CV1^(1/2))</f>
        <v>1.1105037815259213</v>
      </c>
      <c r="CW2" s="10">
        <f>Params!$C3+1/(CW1^(1/2))</f>
        <v>1.1100000000000001</v>
      </c>
      <c r="CX2" s="10">
        <f>Params!$C3+1/(CX1^(1/2))</f>
        <v>1.1095037190209989</v>
      </c>
      <c r="CY2" s="10">
        <f>Params!$C3+1/(CY1^(1/2))</f>
        <v>1.1090147542976674</v>
      </c>
      <c r="CZ2" s="10">
        <f>Params!$C3+1/(CZ1^(1/2))</f>
        <v>1.1085329278164293</v>
      </c>
      <c r="DA2" s="10">
        <f>Params!$C3+1/(DA1^(1/2))</f>
        <v>1.1080580675690921</v>
      </c>
      <c r="DB2" s="10">
        <f>Params!$C3+1/(DB1^(1/2))</f>
        <v>1.1075900072948532</v>
      </c>
      <c r="DC2" s="10">
        <f>Params!$C3+1/(DC1^(1/2))</f>
        <v>1.1071285862357265</v>
      </c>
      <c r="DD2" s="10">
        <f>Params!$C3+1/(DD1^(1/2))</f>
        <v>1.1066736489045663</v>
      </c>
      <c r="DE2" s="10">
        <f>Params!$C3+1/(DE1^(1/2))</f>
        <v>1.1062250448649376</v>
      </c>
      <c r="DF2" s="10">
        <f>Params!$C3+1/(DF1^(1/2))</f>
        <v>1.1057826285221151</v>
      </c>
      <c r="DG2" s="10">
        <f>Params!$C3+1/(DG1^(1/2))</f>
        <v>1.1053462589245593</v>
      </c>
      <c r="DH2" s="10">
        <f>Params!$C3+1/(DH1^(1/2))</f>
        <v>1.1049157995752499</v>
      </c>
      <c r="DI2" s="10">
        <f>Params!$C3+1/(DI1^(1/2))</f>
        <v>1.1044911182523067</v>
      </c>
      <c r="DJ2" s="10">
        <f>Params!$C3+1/(DJ1^(1/2))</f>
        <v>1.1040720868383598</v>
      </c>
      <c r="DK2" s="10">
        <f>Params!$C3+1/(DK1^(1/2))</f>
        <v>1.1036585811581694</v>
      </c>
      <c r="DL2" s="10">
        <f>Params!$C3+1/(DL1^(1/2))</f>
        <v>1.1032504808240313</v>
      </c>
      <c r="DM2" s="10">
        <f>Params!$C3+1/(DM1^(1/2))</f>
        <v>1.1028476690885261</v>
      </c>
      <c r="DN2" s="10">
        <f>Params!$C3+1/(DN1^(1/2))</f>
        <v>1.1024500327042048</v>
      </c>
      <c r="DO2" s="10">
        <f>Params!$C3+1/(DO1^(1/2))</f>
        <v>1.1020574617898324</v>
      </c>
      <c r="DP2" s="10">
        <f>Params!$C3+1/(DP1^(1/2))</f>
        <v>1.1016698497028212</v>
      </c>
      <c r="DQ2" s="10">
        <f>Params!$C3+1/(DQ1^(1/2))</f>
        <v>1.1012870929175276</v>
      </c>
      <c r="DR2" s="10">
        <f>Params!$C3+1/(DR1^(1/2))</f>
        <v>1.1009090909090908</v>
      </c>
      <c r="DS2" s="10">
        <f>Params!$C3+1/(DS1^(1/2))</f>
        <v>1.1005357460425185</v>
      </c>
      <c r="DT2" s="10">
        <f>Params!$C3+1/(DT1^(1/2))</f>
        <v>1.1001669634667433</v>
      </c>
      <c r="DU2" s="10">
        <f>Params!$C3+1/(DU1^(1/2))</f>
        <v>1.0998026510133874</v>
      </c>
      <c r="DV2" s="10">
        <f>Params!$C3+1/(DV1^(1/2))</f>
        <v>1.0994427190999916</v>
      </c>
      <c r="DW2" s="10">
        <f>Params!$C3+1/(DW1^(1/2))</f>
        <v>1.0990870806374748</v>
      </c>
      <c r="DX2" s="10">
        <f>Params!$C3+1/(DX1^(1/2))</f>
        <v>1.0987356509416113</v>
      </c>
      <c r="DY2" s="10">
        <f>Params!$C3+1/(DY1^(1/2))</f>
        <v>1.0983883476483185</v>
      </c>
      <c r="DZ2" s="10">
        <f>Params!$C3+1/(DZ1^(1/2))</f>
        <v>1.0980450906325623</v>
      </c>
      <c r="EA2" s="10">
        <f>Params!$C3+1/(EA1^(1/2))</f>
        <v>1.0977058019307029</v>
      </c>
      <c r="EB2" s="10">
        <f>Params!$C3+1/(EB1^(1/2))</f>
        <v>1.0973704056661038</v>
      </c>
      <c r="EC2" s="10">
        <f>Params!$C3+1/(EC1^(1/2))</f>
        <v>1.0970388279778489</v>
      </c>
      <c r="ED2" s="10">
        <f>Params!$C3+1/(ED1^(1/2))</f>
        <v>1.096710996952412</v>
      </c>
      <c r="EE2" s="10">
        <f>Params!$C3+1/(EE1^(1/2))</f>
        <v>1.096386842558136</v>
      </c>
      <c r="EF2" s="10">
        <f>Params!$C3+1/(EF1^(1/2))</f>
        <v>1.0960662965823871</v>
      </c>
      <c r="EG2" s="10">
        <f>Params!$C3+1/(EG1^(1/2))</f>
        <v>1.0957492925712544</v>
      </c>
      <c r="EH2" s="10">
        <f>Params!$C3+1/(EH1^(1/2))</f>
        <v>1.095435765771676</v>
      </c>
      <c r="EI2" s="10">
        <f>Params!$C3+1/(EI1^(1/2))</f>
        <v>1.0951256530758748</v>
      </c>
      <c r="EJ2" s="10">
        <f>Params!$C3+1/(EJ1^(1/2))</f>
        <v>1.0948188929679972</v>
      </c>
      <c r="EK2" s="10">
        <f>Params!$C3+1/(EK1^(1/2))</f>
        <v>1.0945154254728517</v>
      </c>
      <c r="EL2" s="10">
        <f>Params!$C3+1/(EL1^(1/2))</f>
        <v>1.0942151921066519</v>
      </c>
      <c r="EM2" s="10">
        <f>Params!$C3+1/(EM1^(1/2))</f>
        <v>1.093918135829669</v>
      </c>
      <c r="EN2" s="10">
        <f>Params!$C3+1/(EN1^(1/2))</f>
        <v>1.0936242010007091</v>
      </c>
      <c r="EO2" s="10">
        <f>Params!$C3+1/(EO1^(1/2))</f>
        <v>1.0933333333333333</v>
      </c>
      <c r="EP2" s="10">
        <f>Params!$C3+1/(EP1^(1/2))</f>
        <v>1.0930454798537399</v>
      </c>
      <c r="EQ2" s="10">
        <f>Params!$C3+1/(EQ1^(1/2))</f>
        <v>1.0927605888602367</v>
      </c>
      <c r="ER2" s="10">
        <f>Params!$C3+1/(ER1^(1/2))</f>
        <v>1.0924786098842323</v>
      </c>
      <c r="ES2" s="10">
        <f>Params!$C3+1/(ES1^(1/2))</f>
        <v>1.0921994936526787</v>
      </c>
      <c r="ET2" s="10">
        <f>Params!$C3+1/(ET1^(1/2))</f>
        <v>1.0919231920519041</v>
      </c>
      <c r="EU2" s="10">
        <f>Params!$C3+1/(EU1^(1/2))</f>
        <v>1.0916496580927726</v>
      </c>
    </row>
    <row r="3" spans="1:151">
      <c r="A3" s="21" t="s">
        <v>16</v>
      </c>
      <c r="B3" s="22">
        <f>Params!$C5</f>
        <v>0.95</v>
      </c>
      <c r="C3" s="22">
        <f>Params!$C5</f>
        <v>0.95</v>
      </c>
      <c r="D3" s="22">
        <f>Params!$C5</f>
        <v>0.95</v>
      </c>
      <c r="E3" s="22">
        <f>Params!$C5</f>
        <v>0.95</v>
      </c>
      <c r="F3" s="22">
        <f>Params!$C5</f>
        <v>0.95</v>
      </c>
      <c r="G3" s="22">
        <f>Params!$C5</f>
        <v>0.95</v>
      </c>
      <c r="H3" s="22">
        <f>Params!$C5</f>
        <v>0.95</v>
      </c>
      <c r="I3" s="22">
        <f>Params!$C5</f>
        <v>0.95</v>
      </c>
      <c r="J3" s="22">
        <f>Params!$C5</f>
        <v>0.95</v>
      </c>
      <c r="K3" s="22">
        <f>Params!$C5</f>
        <v>0.95</v>
      </c>
      <c r="L3" s="22">
        <f>Params!$C5</f>
        <v>0.95</v>
      </c>
      <c r="M3" s="22">
        <f>Params!$C5</f>
        <v>0.95</v>
      </c>
      <c r="N3" s="22">
        <f>Params!$C5</f>
        <v>0.95</v>
      </c>
      <c r="O3" s="22">
        <f>Params!$C5</f>
        <v>0.95</v>
      </c>
      <c r="P3" s="22">
        <f>Params!$C5</f>
        <v>0.95</v>
      </c>
      <c r="Q3" s="22">
        <f>Params!$C5</f>
        <v>0.95</v>
      </c>
      <c r="R3" s="22">
        <f>Params!$C5</f>
        <v>0.95</v>
      </c>
      <c r="S3" s="22">
        <f>Params!$C5</f>
        <v>0.95</v>
      </c>
      <c r="T3" s="22">
        <f>Params!$C5</f>
        <v>0.95</v>
      </c>
      <c r="U3" s="22">
        <f>Params!$C5</f>
        <v>0.95</v>
      </c>
      <c r="V3" s="22">
        <f>Params!$C5</f>
        <v>0.95</v>
      </c>
      <c r="W3" s="22">
        <f>Params!$C5</f>
        <v>0.95</v>
      </c>
      <c r="X3" s="22">
        <f>Params!$C5</f>
        <v>0.95</v>
      </c>
      <c r="Y3" s="22">
        <f>Params!$C5</f>
        <v>0.95</v>
      </c>
      <c r="Z3" s="22">
        <f>Params!$C5</f>
        <v>0.95</v>
      </c>
      <c r="AA3" s="22">
        <f>Params!$C5</f>
        <v>0.95</v>
      </c>
      <c r="AB3" s="22">
        <f>Params!$C5</f>
        <v>0.95</v>
      </c>
      <c r="AC3" s="22">
        <f>Params!$C5</f>
        <v>0.95</v>
      </c>
      <c r="AD3" s="22">
        <f>Params!$C5</f>
        <v>0.95</v>
      </c>
      <c r="AE3" s="22">
        <f>Params!$C5</f>
        <v>0.95</v>
      </c>
      <c r="AF3" s="22">
        <f>Params!$C5</f>
        <v>0.95</v>
      </c>
      <c r="AG3" s="22">
        <f>Params!$C5</f>
        <v>0.95</v>
      </c>
      <c r="AH3" s="22">
        <f>Params!$C5</f>
        <v>0.95</v>
      </c>
      <c r="AI3" s="22">
        <f>Params!$C5</f>
        <v>0.95</v>
      </c>
      <c r="AJ3" s="22">
        <f>Params!$C5</f>
        <v>0.95</v>
      </c>
      <c r="AK3" s="22">
        <f>Params!$C5</f>
        <v>0.95</v>
      </c>
      <c r="AL3" s="22">
        <f>Params!$C5</f>
        <v>0.95</v>
      </c>
      <c r="AM3" s="22">
        <f>Params!$C5</f>
        <v>0.95</v>
      </c>
      <c r="AN3" s="22">
        <f>Params!$C5</f>
        <v>0.95</v>
      </c>
      <c r="AO3" s="22">
        <f>Params!$C5</f>
        <v>0.95</v>
      </c>
      <c r="AP3" s="22">
        <f>Params!$C5</f>
        <v>0.95</v>
      </c>
      <c r="AQ3" s="22">
        <f>Params!$C5</f>
        <v>0.95</v>
      </c>
      <c r="AR3" s="22">
        <f>Params!$C5</f>
        <v>0.95</v>
      </c>
      <c r="AS3" s="22">
        <f>Params!$C5</f>
        <v>0.95</v>
      </c>
      <c r="AT3" s="22">
        <f>Params!$C5</f>
        <v>0.95</v>
      </c>
      <c r="AU3" s="22">
        <f>Params!$C5</f>
        <v>0.95</v>
      </c>
      <c r="AV3" s="22">
        <f>Params!$C5</f>
        <v>0.95</v>
      </c>
      <c r="AW3" s="22">
        <f>Params!$C5</f>
        <v>0.95</v>
      </c>
      <c r="AX3" s="22">
        <f>Params!$C5</f>
        <v>0.95</v>
      </c>
      <c r="AY3" s="22">
        <f>Params!$C5</f>
        <v>0.95</v>
      </c>
      <c r="AZ3" s="22">
        <f>Params!$C5</f>
        <v>0.95</v>
      </c>
      <c r="BA3" s="22">
        <f>Params!$C5</f>
        <v>0.95</v>
      </c>
      <c r="BB3" s="22">
        <f>Params!$C5</f>
        <v>0.95</v>
      </c>
      <c r="BC3" s="22">
        <f>Params!$C5</f>
        <v>0.95</v>
      </c>
      <c r="BD3" s="22">
        <f>Params!$C5</f>
        <v>0.95</v>
      </c>
      <c r="BE3" s="22">
        <f>Params!$C5</f>
        <v>0.95</v>
      </c>
      <c r="BF3" s="22">
        <f>Params!$C5</f>
        <v>0.95</v>
      </c>
      <c r="BG3" s="22">
        <f>Params!$C5</f>
        <v>0.95</v>
      </c>
      <c r="BH3" s="22">
        <f>Params!$C5</f>
        <v>0.95</v>
      </c>
      <c r="BI3" s="22">
        <f>Params!$C5</f>
        <v>0.95</v>
      </c>
      <c r="BJ3" s="22">
        <f>Params!$C5</f>
        <v>0.95</v>
      </c>
      <c r="BK3" s="22">
        <f>Params!$C5</f>
        <v>0.95</v>
      </c>
      <c r="BL3" s="22">
        <f>Params!$C5</f>
        <v>0.95</v>
      </c>
      <c r="BM3" s="22">
        <f>Params!$C5</f>
        <v>0.95</v>
      </c>
      <c r="BN3" s="22">
        <f>Params!$C5</f>
        <v>0.95</v>
      </c>
      <c r="BO3" s="22">
        <f>Params!$C5</f>
        <v>0.95</v>
      </c>
      <c r="BP3" s="22">
        <f>Params!$C5</f>
        <v>0.95</v>
      </c>
      <c r="BQ3" s="22">
        <f>Params!$C5</f>
        <v>0.95</v>
      </c>
      <c r="BR3" s="22">
        <f>Params!$C5</f>
        <v>0.95</v>
      </c>
      <c r="BS3" s="22">
        <f>Params!$C5</f>
        <v>0.95</v>
      </c>
      <c r="BT3" s="22">
        <f>Params!$C5</f>
        <v>0.95</v>
      </c>
      <c r="BU3" s="22">
        <f>Params!$C5</f>
        <v>0.95</v>
      </c>
      <c r="BV3" s="22">
        <f>Params!$C5</f>
        <v>0.95</v>
      </c>
      <c r="BW3" s="22">
        <f>Params!$C5</f>
        <v>0.95</v>
      </c>
      <c r="BX3" s="22">
        <f>Params!$C5</f>
        <v>0.95</v>
      </c>
      <c r="BY3" s="22">
        <f>Params!$C5</f>
        <v>0.95</v>
      </c>
      <c r="BZ3" s="22">
        <f>Params!$C5</f>
        <v>0.95</v>
      </c>
      <c r="CA3" s="22">
        <f>Params!$C5</f>
        <v>0.95</v>
      </c>
      <c r="CB3" s="22">
        <f>Params!$C5</f>
        <v>0.95</v>
      </c>
      <c r="CC3" s="22">
        <f>Params!$C5</f>
        <v>0.95</v>
      </c>
      <c r="CD3" s="22">
        <f>Params!$C5</f>
        <v>0.95</v>
      </c>
      <c r="CE3" s="22">
        <f>Params!$C5</f>
        <v>0.95</v>
      </c>
      <c r="CF3" s="22">
        <f>Params!$C5</f>
        <v>0.95</v>
      </c>
      <c r="CG3" s="22">
        <f>Params!$C5</f>
        <v>0.95</v>
      </c>
      <c r="CH3" s="22">
        <f>Params!$C5</f>
        <v>0.95</v>
      </c>
      <c r="CI3" s="22">
        <f>Params!$C5</f>
        <v>0.95</v>
      </c>
      <c r="CJ3" s="22">
        <f>Params!$C5</f>
        <v>0.95</v>
      </c>
      <c r="CK3" s="22">
        <f>Params!$C5</f>
        <v>0.95</v>
      </c>
      <c r="CL3" s="22">
        <f>Params!$C5</f>
        <v>0.95</v>
      </c>
      <c r="CM3" s="22">
        <f>Params!$C5</f>
        <v>0.95</v>
      </c>
      <c r="CN3" s="22">
        <f>Params!$C5</f>
        <v>0.95</v>
      </c>
      <c r="CO3" s="22">
        <f>Params!$C5</f>
        <v>0.95</v>
      </c>
      <c r="CP3" s="22">
        <f>Params!$C5</f>
        <v>0.95</v>
      </c>
      <c r="CQ3" s="22">
        <f>Params!$C5</f>
        <v>0.95</v>
      </c>
      <c r="CR3" s="22">
        <f>Params!$C5</f>
        <v>0.95</v>
      </c>
      <c r="CS3" s="22">
        <f>Params!$C5</f>
        <v>0.95</v>
      </c>
      <c r="CT3" s="22">
        <f>Params!$C5</f>
        <v>0.95</v>
      </c>
      <c r="CU3" s="22">
        <f>Params!$C5</f>
        <v>0.95</v>
      </c>
      <c r="CV3" s="22">
        <f>Params!$C5</f>
        <v>0.95</v>
      </c>
      <c r="CW3" s="22">
        <f>Params!$C5</f>
        <v>0.95</v>
      </c>
      <c r="CX3" s="22">
        <f>Params!$C5</f>
        <v>0.95</v>
      </c>
      <c r="CY3" s="22">
        <f>Params!$C5</f>
        <v>0.95</v>
      </c>
      <c r="CZ3" s="22">
        <f>Params!$C5</f>
        <v>0.95</v>
      </c>
      <c r="DA3" s="22">
        <f>Params!$C5</f>
        <v>0.95</v>
      </c>
      <c r="DB3" s="22">
        <f>Params!$C5</f>
        <v>0.95</v>
      </c>
      <c r="DC3" s="22">
        <f>Params!$C5</f>
        <v>0.95</v>
      </c>
      <c r="DD3" s="22">
        <f>Params!$C5</f>
        <v>0.95</v>
      </c>
      <c r="DE3" s="22">
        <f>Params!$C5</f>
        <v>0.95</v>
      </c>
      <c r="DF3" s="22">
        <f>Params!$C5</f>
        <v>0.95</v>
      </c>
      <c r="DG3" s="22">
        <f>Params!$C5</f>
        <v>0.95</v>
      </c>
      <c r="DH3" s="22">
        <f>Params!$C5</f>
        <v>0.95</v>
      </c>
      <c r="DI3" s="22">
        <f>Params!$C5</f>
        <v>0.95</v>
      </c>
      <c r="DJ3" s="22">
        <f>Params!$C5</f>
        <v>0.95</v>
      </c>
      <c r="DK3" s="22">
        <f>Params!$C5</f>
        <v>0.95</v>
      </c>
      <c r="DL3" s="22">
        <f>Params!$C5</f>
        <v>0.95</v>
      </c>
      <c r="DM3" s="22">
        <f>Params!$C5</f>
        <v>0.95</v>
      </c>
      <c r="DN3" s="22">
        <f>Params!$C5</f>
        <v>0.95</v>
      </c>
      <c r="DO3" s="22">
        <f>Params!$C5</f>
        <v>0.95</v>
      </c>
      <c r="DP3" s="22">
        <f>Params!$C5</f>
        <v>0.95</v>
      </c>
      <c r="DQ3" s="22">
        <f>Params!$C5</f>
        <v>0.95</v>
      </c>
      <c r="DR3" s="22">
        <f>Params!$C5</f>
        <v>0.95</v>
      </c>
      <c r="DS3" s="22">
        <f>Params!$C5</f>
        <v>0.95</v>
      </c>
      <c r="DT3" s="22">
        <f>Params!$C5</f>
        <v>0.95</v>
      </c>
      <c r="DU3" s="22">
        <f>Params!$C5</f>
        <v>0.95</v>
      </c>
      <c r="DV3" s="22">
        <f>Params!$C5</f>
        <v>0.95</v>
      </c>
      <c r="DW3" s="22">
        <f>Params!$C5</f>
        <v>0.95</v>
      </c>
      <c r="DX3" s="22">
        <f>Params!$C5</f>
        <v>0.95</v>
      </c>
      <c r="DY3" s="22">
        <f>Params!$C5</f>
        <v>0.95</v>
      </c>
      <c r="DZ3" s="22">
        <f>Params!$C5</f>
        <v>0.95</v>
      </c>
      <c r="EA3" s="22">
        <f>Params!$C5</f>
        <v>0.95</v>
      </c>
      <c r="EB3" s="22">
        <f>Params!$C5</f>
        <v>0.95</v>
      </c>
      <c r="EC3" s="22">
        <f>Params!$C5</f>
        <v>0.95</v>
      </c>
      <c r="ED3" s="22">
        <f>Params!$C5</f>
        <v>0.95</v>
      </c>
      <c r="EE3" s="22">
        <f>Params!$C5</f>
        <v>0.95</v>
      </c>
      <c r="EF3" s="22">
        <f>Params!$C5</f>
        <v>0.95</v>
      </c>
      <c r="EG3" s="22">
        <f>Params!$C5</f>
        <v>0.95</v>
      </c>
      <c r="EH3" s="22">
        <f>Params!$C5</f>
        <v>0.95</v>
      </c>
      <c r="EI3" s="22">
        <f>Params!$C5</f>
        <v>0.95</v>
      </c>
      <c r="EJ3" s="22">
        <f>Params!$C5</f>
        <v>0.95</v>
      </c>
      <c r="EK3" s="22">
        <f>Params!$C5</f>
        <v>0.95</v>
      </c>
      <c r="EL3" s="22">
        <f>Params!$C5</f>
        <v>0.95</v>
      </c>
      <c r="EM3" s="22">
        <f>Params!$C5</f>
        <v>0.95</v>
      </c>
      <c r="EN3" s="22">
        <f>Params!$C5</f>
        <v>0.95</v>
      </c>
      <c r="EO3" s="22">
        <f>Params!$C5</f>
        <v>0.95</v>
      </c>
      <c r="EP3" s="22">
        <f>Params!$C5</f>
        <v>0.95</v>
      </c>
      <c r="EQ3" s="22">
        <f>Params!$C5</f>
        <v>0.95</v>
      </c>
      <c r="ER3" s="22">
        <f>Params!$C5</f>
        <v>0.95</v>
      </c>
      <c r="ES3" s="22">
        <f>Params!$C5</f>
        <v>0.95</v>
      </c>
      <c r="ET3" s="22">
        <f>Params!$C5</f>
        <v>0.95</v>
      </c>
      <c r="EU3" s="22">
        <f>Params!$C5</f>
        <v>0.95</v>
      </c>
    </row>
    <row r="4" spans="1:151">
      <c r="A4" s="21" t="s">
        <v>17</v>
      </c>
      <c r="B4" s="22">
        <f>Params!$C6</f>
        <v>0.75</v>
      </c>
      <c r="C4" s="22">
        <f>Params!$C6</f>
        <v>0.75</v>
      </c>
      <c r="D4" s="22">
        <f>Params!$C6</f>
        <v>0.75</v>
      </c>
      <c r="E4" s="22">
        <f>Params!$C6</f>
        <v>0.75</v>
      </c>
      <c r="F4" s="22">
        <f>Params!$C6</f>
        <v>0.75</v>
      </c>
      <c r="G4" s="22">
        <f>Params!$C6</f>
        <v>0.75</v>
      </c>
      <c r="H4" s="22">
        <f>Params!$C6</f>
        <v>0.75</v>
      </c>
      <c r="I4" s="22">
        <f>Params!$C6</f>
        <v>0.75</v>
      </c>
      <c r="J4" s="22">
        <f>Params!$C6</f>
        <v>0.75</v>
      </c>
      <c r="K4" s="22">
        <f>Params!$C6</f>
        <v>0.75</v>
      </c>
      <c r="L4" s="22">
        <f>Params!$C6</f>
        <v>0.75</v>
      </c>
      <c r="M4" s="22">
        <f>Params!$C6</f>
        <v>0.75</v>
      </c>
      <c r="N4" s="22">
        <f>Params!$C6</f>
        <v>0.75</v>
      </c>
      <c r="O4" s="22">
        <f>Params!$C6</f>
        <v>0.75</v>
      </c>
      <c r="P4" s="22">
        <f>Params!$C6</f>
        <v>0.75</v>
      </c>
      <c r="Q4" s="22">
        <f>Params!$C6</f>
        <v>0.75</v>
      </c>
      <c r="R4" s="22">
        <f>Params!$C6</f>
        <v>0.75</v>
      </c>
      <c r="S4" s="22">
        <f>Params!$C6</f>
        <v>0.75</v>
      </c>
      <c r="T4" s="22">
        <f>Params!$C6</f>
        <v>0.75</v>
      </c>
      <c r="U4" s="22">
        <f>Params!$C6</f>
        <v>0.75</v>
      </c>
      <c r="V4" s="22">
        <f>Params!$C6</f>
        <v>0.75</v>
      </c>
      <c r="W4" s="22">
        <f>Params!$C6</f>
        <v>0.75</v>
      </c>
      <c r="X4" s="22">
        <f>Params!$C6</f>
        <v>0.75</v>
      </c>
      <c r="Y4" s="22">
        <f>Params!$C6</f>
        <v>0.75</v>
      </c>
      <c r="Z4" s="22">
        <f>Params!$C6</f>
        <v>0.75</v>
      </c>
      <c r="AA4" s="22">
        <f>Params!$C6</f>
        <v>0.75</v>
      </c>
      <c r="AB4" s="22">
        <f>Params!$C6</f>
        <v>0.75</v>
      </c>
      <c r="AC4" s="22">
        <f>Params!$C6</f>
        <v>0.75</v>
      </c>
      <c r="AD4" s="22">
        <f>Params!$C6</f>
        <v>0.75</v>
      </c>
      <c r="AE4" s="22">
        <f>Params!$C6</f>
        <v>0.75</v>
      </c>
      <c r="AF4" s="22">
        <f>Params!$C6</f>
        <v>0.75</v>
      </c>
      <c r="AG4" s="22">
        <f>Params!$C6</f>
        <v>0.75</v>
      </c>
      <c r="AH4" s="22">
        <f>Params!$C6</f>
        <v>0.75</v>
      </c>
      <c r="AI4" s="22">
        <f>Params!$C6</f>
        <v>0.75</v>
      </c>
      <c r="AJ4" s="22">
        <f>Params!$C6</f>
        <v>0.75</v>
      </c>
      <c r="AK4" s="22">
        <f>Params!$C6</f>
        <v>0.75</v>
      </c>
      <c r="AL4" s="22">
        <f>Params!$C6</f>
        <v>0.75</v>
      </c>
      <c r="AM4" s="22">
        <f>Params!$C6</f>
        <v>0.75</v>
      </c>
      <c r="AN4" s="22">
        <f>Params!$C6</f>
        <v>0.75</v>
      </c>
      <c r="AO4" s="22">
        <f>Params!$C6</f>
        <v>0.75</v>
      </c>
      <c r="AP4" s="22">
        <f>Params!$C6</f>
        <v>0.75</v>
      </c>
      <c r="AQ4" s="22">
        <f>Params!$C6</f>
        <v>0.75</v>
      </c>
      <c r="AR4" s="22">
        <f>Params!$C6</f>
        <v>0.75</v>
      </c>
      <c r="AS4" s="22">
        <f>Params!$C6</f>
        <v>0.75</v>
      </c>
      <c r="AT4" s="22">
        <f>Params!$C6</f>
        <v>0.75</v>
      </c>
      <c r="AU4" s="22">
        <f>Params!$C6</f>
        <v>0.75</v>
      </c>
      <c r="AV4" s="22">
        <f>Params!$C6</f>
        <v>0.75</v>
      </c>
      <c r="AW4" s="22">
        <f>Params!$C6</f>
        <v>0.75</v>
      </c>
      <c r="AX4" s="22">
        <f>Params!$C6</f>
        <v>0.75</v>
      </c>
      <c r="AY4" s="22">
        <f>Params!$C6</f>
        <v>0.75</v>
      </c>
      <c r="AZ4" s="22">
        <f>Params!$C6</f>
        <v>0.75</v>
      </c>
      <c r="BA4" s="22">
        <f>Params!$C6</f>
        <v>0.75</v>
      </c>
      <c r="BB4" s="22">
        <f>Params!$C6</f>
        <v>0.75</v>
      </c>
      <c r="BC4" s="22">
        <f>Params!$C6</f>
        <v>0.75</v>
      </c>
      <c r="BD4" s="22">
        <f>Params!$C6</f>
        <v>0.75</v>
      </c>
      <c r="BE4" s="22">
        <f>Params!$C6</f>
        <v>0.75</v>
      </c>
      <c r="BF4" s="22">
        <f>Params!$C6</f>
        <v>0.75</v>
      </c>
      <c r="BG4" s="22">
        <f>Params!$C6</f>
        <v>0.75</v>
      </c>
      <c r="BH4" s="22">
        <f>Params!$C6</f>
        <v>0.75</v>
      </c>
      <c r="BI4" s="22">
        <f>Params!$C6</f>
        <v>0.75</v>
      </c>
      <c r="BJ4" s="22">
        <f>Params!$C6</f>
        <v>0.75</v>
      </c>
      <c r="BK4" s="22">
        <f>Params!$C6</f>
        <v>0.75</v>
      </c>
      <c r="BL4" s="22">
        <f>Params!$C6</f>
        <v>0.75</v>
      </c>
      <c r="BM4" s="22">
        <f>Params!$C6</f>
        <v>0.75</v>
      </c>
      <c r="BN4" s="22">
        <f>Params!$C6</f>
        <v>0.75</v>
      </c>
      <c r="BO4" s="22">
        <f>Params!$C6</f>
        <v>0.75</v>
      </c>
      <c r="BP4" s="22">
        <f>Params!$C6</f>
        <v>0.75</v>
      </c>
      <c r="BQ4" s="22">
        <f>Params!$C6</f>
        <v>0.75</v>
      </c>
      <c r="BR4" s="22">
        <f>Params!$C6</f>
        <v>0.75</v>
      </c>
      <c r="BS4" s="22">
        <f>Params!$C6</f>
        <v>0.75</v>
      </c>
      <c r="BT4" s="22">
        <f>Params!$C6</f>
        <v>0.75</v>
      </c>
      <c r="BU4" s="22">
        <f>Params!$C6</f>
        <v>0.75</v>
      </c>
      <c r="BV4" s="22">
        <f>Params!$C6</f>
        <v>0.75</v>
      </c>
      <c r="BW4" s="22">
        <f>Params!$C6</f>
        <v>0.75</v>
      </c>
      <c r="BX4" s="22">
        <f>Params!$C6</f>
        <v>0.75</v>
      </c>
      <c r="BY4" s="22">
        <f>Params!$C6</f>
        <v>0.75</v>
      </c>
      <c r="BZ4" s="22">
        <f>Params!$C6</f>
        <v>0.75</v>
      </c>
      <c r="CA4" s="22">
        <f>Params!$C6</f>
        <v>0.75</v>
      </c>
      <c r="CB4" s="22">
        <f>Params!$C6</f>
        <v>0.75</v>
      </c>
      <c r="CC4" s="22">
        <f>Params!$C6</f>
        <v>0.75</v>
      </c>
      <c r="CD4" s="22">
        <f>Params!$C6</f>
        <v>0.75</v>
      </c>
      <c r="CE4" s="22">
        <f>Params!$C6</f>
        <v>0.75</v>
      </c>
      <c r="CF4" s="22">
        <f>Params!$C6</f>
        <v>0.75</v>
      </c>
      <c r="CG4" s="22">
        <f>Params!$C6</f>
        <v>0.75</v>
      </c>
      <c r="CH4" s="22">
        <f>Params!$C6</f>
        <v>0.75</v>
      </c>
      <c r="CI4" s="22">
        <f>Params!$C6</f>
        <v>0.75</v>
      </c>
      <c r="CJ4" s="22">
        <f>Params!$C6</f>
        <v>0.75</v>
      </c>
      <c r="CK4" s="22">
        <f>Params!$C6</f>
        <v>0.75</v>
      </c>
      <c r="CL4" s="22">
        <f>Params!$C6</f>
        <v>0.75</v>
      </c>
      <c r="CM4" s="22">
        <f>Params!$C6</f>
        <v>0.75</v>
      </c>
      <c r="CN4" s="22">
        <f>Params!$C6</f>
        <v>0.75</v>
      </c>
      <c r="CO4" s="22">
        <f>Params!$C6</f>
        <v>0.75</v>
      </c>
      <c r="CP4" s="22">
        <f>Params!$C6</f>
        <v>0.75</v>
      </c>
      <c r="CQ4" s="22">
        <f>Params!$C6</f>
        <v>0.75</v>
      </c>
      <c r="CR4" s="22">
        <f>Params!$C6</f>
        <v>0.75</v>
      </c>
      <c r="CS4" s="22">
        <f>Params!$C6</f>
        <v>0.75</v>
      </c>
      <c r="CT4" s="22">
        <f>Params!$C6</f>
        <v>0.75</v>
      </c>
      <c r="CU4" s="22">
        <f>Params!$C6</f>
        <v>0.75</v>
      </c>
      <c r="CV4" s="22">
        <f>Params!$C6</f>
        <v>0.75</v>
      </c>
      <c r="CW4" s="22">
        <f>Params!$C6</f>
        <v>0.75</v>
      </c>
      <c r="CX4" s="22">
        <f>Params!$C6</f>
        <v>0.75</v>
      </c>
      <c r="CY4" s="22">
        <f>Params!$C6</f>
        <v>0.75</v>
      </c>
      <c r="CZ4" s="22">
        <f>Params!$C6</f>
        <v>0.75</v>
      </c>
      <c r="DA4" s="22">
        <f>Params!$C6</f>
        <v>0.75</v>
      </c>
      <c r="DB4" s="22">
        <f>Params!$C6</f>
        <v>0.75</v>
      </c>
      <c r="DC4" s="22">
        <f>Params!$C6</f>
        <v>0.75</v>
      </c>
      <c r="DD4" s="22">
        <f>Params!$C6</f>
        <v>0.75</v>
      </c>
      <c r="DE4" s="22">
        <f>Params!$C6</f>
        <v>0.75</v>
      </c>
      <c r="DF4" s="22">
        <f>Params!$C6</f>
        <v>0.75</v>
      </c>
      <c r="DG4" s="22">
        <f>Params!$C6</f>
        <v>0.75</v>
      </c>
      <c r="DH4" s="22">
        <f>Params!$C6</f>
        <v>0.75</v>
      </c>
      <c r="DI4" s="22">
        <f>Params!$C6</f>
        <v>0.75</v>
      </c>
      <c r="DJ4" s="22">
        <f>Params!$C6</f>
        <v>0.75</v>
      </c>
      <c r="DK4" s="22">
        <f>Params!$C6</f>
        <v>0.75</v>
      </c>
      <c r="DL4" s="22">
        <f>Params!$C6</f>
        <v>0.75</v>
      </c>
      <c r="DM4" s="22">
        <f>Params!$C6</f>
        <v>0.75</v>
      </c>
      <c r="DN4" s="22">
        <f>Params!$C6</f>
        <v>0.75</v>
      </c>
      <c r="DO4" s="22">
        <f>Params!$C6</f>
        <v>0.75</v>
      </c>
      <c r="DP4" s="22">
        <f>Params!$C6</f>
        <v>0.75</v>
      </c>
      <c r="DQ4" s="22">
        <f>Params!$C6</f>
        <v>0.75</v>
      </c>
      <c r="DR4" s="22">
        <f>Params!$C6</f>
        <v>0.75</v>
      </c>
      <c r="DS4" s="22">
        <f>Params!$C6</f>
        <v>0.75</v>
      </c>
      <c r="DT4" s="22">
        <f>Params!$C6</f>
        <v>0.75</v>
      </c>
      <c r="DU4" s="22">
        <f>Params!$C6</f>
        <v>0.75</v>
      </c>
      <c r="DV4" s="22">
        <f>Params!$C6</f>
        <v>0.75</v>
      </c>
      <c r="DW4" s="22">
        <f>Params!$C6</f>
        <v>0.75</v>
      </c>
      <c r="DX4" s="22">
        <f>Params!$C6</f>
        <v>0.75</v>
      </c>
      <c r="DY4" s="22">
        <f>Params!$C6</f>
        <v>0.75</v>
      </c>
      <c r="DZ4" s="22">
        <f>Params!$C6</f>
        <v>0.75</v>
      </c>
      <c r="EA4" s="22">
        <f>Params!$C6</f>
        <v>0.75</v>
      </c>
      <c r="EB4" s="22">
        <f>Params!$C6</f>
        <v>0.75</v>
      </c>
      <c r="EC4" s="22">
        <f>Params!$C6</f>
        <v>0.75</v>
      </c>
      <c r="ED4" s="22">
        <f>Params!$C6</f>
        <v>0.75</v>
      </c>
      <c r="EE4" s="22">
        <f>Params!$C6</f>
        <v>0.75</v>
      </c>
      <c r="EF4" s="22">
        <f>Params!$C6</f>
        <v>0.75</v>
      </c>
      <c r="EG4" s="22">
        <f>Params!$C6</f>
        <v>0.75</v>
      </c>
      <c r="EH4" s="22">
        <f>Params!$C6</f>
        <v>0.75</v>
      </c>
      <c r="EI4" s="22">
        <f>Params!$C6</f>
        <v>0.75</v>
      </c>
      <c r="EJ4" s="22">
        <f>Params!$C6</f>
        <v>0.75</v>
      </c>
      <c r="EK4" s="22">
        <f>Params!$C6</f>
        <v>0.75</v>
      </c>
      <c r="EL4" s="22">
        <f>Params!$C6</f>
        <v>0.75</v>
      </c>
      <c r="EM4" s="22">
        <f>Params!$C6</f>
        <v>0.75</v>
      </c>
      <c r="EN4" s="22">
        <f>Params!$C6</f>
        <v>0.75</v>
      </c>
      <c r="EO4" s="22">
        <f>Params!$C6</f>
        <v>0.75</v>
      </c>
      <c r="EP4" s="22">
        <f>Params!$C6</f>
        <v>0.75</v>
      </c>
      <c r="EQ4" s="22">
        <f>Params!$C6</f>
        <v>0.75</v>
      </c>
      <c r="ER4" s="22">
        <f>Params!$C6</f>
        <v>0.75</v>
      </c>
      <c r="ES4" s="22">
        <f>Params!$C6</f>
        <v>0.75</v>
      </c>
      <c r="ET4" s="22">
        <f>Params!$C6</f>
        <v>0.75</v>
      </c>
      <c r="EU4" s="22">
        <f>Params!$C6</f>
        <v>0.75</v>
      </c>
    </row>
    <row r="5" spans="1:151" ht="15">
      <c r="A5" s="21" t="s">
        <v>18</v>
      </c>
      <c r="B5" s="22">
        <f>Params!$C7</f>
        <v>0.5</v>
      </c>
      <c r="C5" s="22">
        <f>Params!$C7</f>
        <v>0.5</v>
      </c>
      <c r="D5" s="22">
        <f>Params!$C7</f>
        <v>0.5</v>
      </c>
      <c r="E5" s="22">
        <f>Params!$C7</f>
        <v>0.5</v>
      </c>
      <c r="F5" s="22">
        <f>Params!$C7</f>
        <v>0.5</v>
      </c>
      <c r="G5" s="22">
        <f>Params!$C7</f>
        <v>0.5</v>
      </c>
      <c r="H5" s="22">
        <f>Params!$C7</f>
        <v>0.5</v>
      </c>
      <c r="I5" s="22">
        <f>Params!$C7</f>
        <v>0.5</v>
      </c>
      <c r="J5" s="22">
        <f>Params!$C7</f>
        <v>0.5</v>
      </c>
      <c r="K5" s="22">
        <f>Params!$C7</f>
        <v>0.5</v>
      </c>
      <c r="L5" s="22">
        <f>Params!$C7</f>
        <v>0.5</v>
      </c>
      <c r="M5" s="22">
        <f>Params!$C7</f>
        <v>0.5</v>
      </c>
      <c r="N5" s="22">
        <f>Params!$C7</f>
        <v>0.5</v>
      </c>
      <c r="O5" s="22">
        <f>Params!$C7</f>
        <v>0.5</v>
      </c>
      <c r="P5" s="22">
        <f>Params!$C7</f>
        <v>0.5</v>
      </c>
      <c r="Q5" s="22">
        <f>Params!$C7</f>
        <v>0.5</v>
      </c>
      <c r="R5" s="22">
        <f>Params!$C7</f>
        <v>0.5</v>
      </c>
      <c r="S5" s="22">
        <f>Params!$C7</f>
        <v>0.5</v>
      </c>
      <c r="T5" s="22">
        <f>Params!$C7</f>
        <v>0.5</v>
      </c>
      <c r="U5" s="22">
        <f>Params!$C7</f>
        <v>0.5</v>
      </c>
      <c r="V5" s="22">
        <f>Params!$C7</f>
        <v>0.5</v>
      </c>
      <c r="W5" s="22">
        <f>Params!$C7</f>
        <v>0.5</v>
      </c>
      <c r="X5" s="22">
        <f>Params!$C7</f>
        <v>0.5</v>
      </c>
      <c r="Y5" s="22">
        <f>Params!$C7</f>
        <v>0.5</v>
      </c>
      <c r="Z5" s="22">
        <f>Params!$C7</f>
        <v>0.5</v>
      </c>
      <c r="AA5" s="22">
        <f>Params!$C7</f>
        <v>0.5</v>
      </c>
      <c r="AB5" s="22">
        <f>Params!$C7</f>
        <v>0.5</v>
      </c>
      <c r="AC5" s="22">
        <f>Params!$C7</f>
        <v>0.5</v>
      </c>
      <c r="AD5" s="22">
        <f>Params!$C7</f>
        <v>0.5</v>
      </c>
      <c r="AE5" s="22">
        <f>Params!$C7</f>
        <v>0.5</v>
      </c>
      <c r="AF5" s="22">
        <f>Params!$C7</f>
        <v>0.5</v>
      </c>
      <c r="AG5" s="22">
        <f>Params!$C7</f>
        <v>0.5</v>
      </c>
      <c r="AH5" s="22">
        <f>Params!$C7</f>
        <v>0.5</v>
      </c>
      <c r="AI5" s="22">
        <f>Params!$C7</f>
        <v>0.5</v>
      </c>
      <c r="AJ5" s="22">
        <f>Params!$C7</f>
        <v>0.5</v>
      </c>
      <c r="AK5" s="22">
        <f>Params!$C7</f>
        <v>0.5</v>
      </c>
      <c r="AL5" s="22">
        <f>Params!$C7</f>
        <v>0.5</v>
      </c>
      <c r="AM5" s="22">
        <f>Params!$C7</f>
        <v>0.5</v>
      </c>
      <c r="AN5" s="22">
        <f>Params!$C7</f>
        <v>0.5</v>
      </c>
      <c r="AO5" s="22">
        <f>Params!$C7</f>
        <v>0.5</v>
      </c>
      <c r="AP5" s="22">
        <f>Params!$C7</f>
        <v>0.5</v>
      </c>
      <c r="AQ5" s="22">
        <f>Params!$C7</f>
        <v>0.5</v>
      </c>
      <c r="AR5" s="22">
        <f>Params!$C7</f>
        <v>0.5</v>
      </c>
      <c r="AS5" s="22">
        <f>Params!$C7</f>
        <v>0.5</v>
      </c>
      <c r="AT5" s="22">
        <f>Params!$C7</f>
        <v>0.5</v>
      </c>
      <c r="AU5" s="22">
        <f>Params!$C7</f>
        <v>0.5</v>
      </c>
      <c r="AV5" s="22">
        <f>Params!$C7</f>
        <v>0.5</v>
      </c>
      <c r="AW5" s="22">
        <f>Params!$C7</f>
        <v>0.5</v>
      </c>
      <c r="AX5" s="22">
        <f>Params!$C7</f>
        <v>0.5</v>
      </c>
      <c r="AY5" s="22">
        <f>Params!$C7</f>
        <v>0.5</v>
      </c>
      <c r="AZ5" s="22">
        <f>Params!$C7</f>
        <v>0.5</v>
      </c>
      <c r="BA5" s="22">
        <f>Params!$C7</f>
        <v>0.5</v>
      </c>
      <c r="BB5" s="22">
        <f>Params!$C7</f>
        <v>0.5</v>
      </c>
      <c r="BC5" s="22">
        <f>Params!$C7</f>
        <v>0.5</v>
      </c>
      <c r="BD5" s="22">
        <f>Params!$C7</f>
        <v>0.5</v>
      </c>
      <c r="BE5" s="22">
        <f>Params!$C7</f>
        <v>0.5</v>
      </c>
      <c r="BF5" s="22">
        <f>Params!$C7</f>
        <v>0.5</v>
      </c>
      <c r="BG5" s="22">
        <f>Params!$C7</f>
        <v>0.5</v>
      </c>
      <c r="BH5" s="22">
        <f>Params!$C7</f>
        <v>0.5</v>
      </c>
      <c r="BI5" s="22">
        <f>Params!$C7</f>
        <v>0.5</v>
      </c>
      <c r="BJ5" s="22">
        <f>Params!$C7</f>
        <v>0.5</v>
      </c>
      <c r="BK5" s="22">
        <f>Params!$C7</f>
        <v>0.5</v>
      </c>
      <c r="BL5" s="22">
        <f>Params!$C7</f>
        <v>0.5</v>
      </c>
      <c r="BM5" s="22">
        <f>Params!$C7</f>
        <v>0.5</v>
      </c>
      <c r="BN5" s="22">
        <f>Params!$C7</f>
        <v>0.5</v>
      </c>
      <c r="BO5" s="22">
        <f>Params!$C7</f>
        <v>0.5</v>
      </c>
      <c r="BP5" s="22">
        <f>Params!$C7</f>
        <v>0.5</v>
      </c>
      <c r="BQ5" s="22">
        <f>Params!$C7</f>
        <v>0.5</v>
      </c>
      <c r="BR5" s="22">
        <f>Params!$C7</f>
        <v>0.5</v>
      </c>
      <c r="BS5" s="22">
        <f>Params!$C7</f>
        <v>0.5</v>
      </c>
      <c r="BT5" s="22">
        <f>Params!$C7</f>
        <v>0.5</v>
      </c>
      <c r="BU5" s="22">
        <f>Params!$C7</f>
        <v>0.5</v>
      </c>
      <c r="BV5" s="22">
        <f>Params!$C7</f>
        <v>0.5</v>
      </c>
      <c r="BW5" s="22">
        <f>Params!$C7</f>
        <v>0.5</v>
      </c>
      <c r="BX5" s="22">
        <f>Params!$C7</f>
        <v>0.5</v>
      </c>
      <c r="BY5" s="22">
        <f>Params!$C7</f>
        <v>0.5</v>
      </c>
      <c r="BZ5" s="22">
        <f>Params!$C7</f>
        <v>0.5</v>
      </c>
      <c r="CA5" s="22">
        <f>Params!$C7</f>
        <v>0.5</v>
      </c>
      <c r="CB5" s="22">
        <f>Params!$C7</f>
        <v>0.5</v>
      </c>
      <c r="CC5" s="22">
        <f>Params!$C7</f>
        <v>0.5</v>
      </c>
      <c r="CD5" s="22">
        <f>Params!$C7</f>
        <v>0.5</v>
      </c>
      <c r="CE5" s="22">
        <f>Params!$C7</f>
        <v>0.5</v>
      </c>
      <c r="CF5" s="22">
        <f>Params!$C7</f>
        <v>0.5</v>
      </c>
      <c r="CG5" s="22">
        <f>Params!$C7</f>
        <v>0.5</v>
      </c>
      <c r="CH5" s="22">
        <f>Params!$C7</f>
        <v>0.5</v>
      </c>
      <c r="CI5" s="22">
        <f>Params!$C7</f>
        <v>0.5</v>
      </c>
      <c r="CJ5" s="22">
        <f>Params!$C7</f>
        <v>0.5</v>
      </c>
      <c r="CK5" s="22">
        <f>Params!$C7</f>
        <v>0.5</v>
      </c>
      <c r="CL5" s="22">
        <f>Params!$C7</f>
        <v>0.5</v>
      </c>
      <c r="CM5" s="22">
        <f>Params!$C7</f>
        <v>0.5</v>
      </c>
      <c r="CN5" s="22">
        <f>Params!$C7</f>
        <v>0.5</v>
      </c>
      <c r="CO5" s="22">
        <f>Params!$C7</f>
        <v>0.5</v>
      </c>
      <c r="CP5" s="22">
        <f>Params!$C7</f>
        <v>0.5</v>
      </c>
      <c r="CQ5" s="22">
        <f>Params!$C7</f>
        <v>0.5</v>
      </c>
      <c r="CR5" s="22">
        <f>Params!$C7</f>
        <v>0.5</v>
      </c>
      <c r="CS5" s="22">
        <f>Params!$C7</f>
        <v>0.5</v>
      </c>
      <c r="CT5" s="22">
        <f>Params!$C7</f>
        <v>0.5</v>
      </c>
      <c r="CU5" s="22">
        <f>Params!$C7</f>
        <v>0.5</v>
      </c>
      <c r="CV5" s="22">
        <f>Params!$C7</f>
        <v>0.5</v>
      </c>
      <c r="CW5" s="22">
        <f>Params!$C7</f>
        <v>0.5</v>
      </c>
      <c r="CX5" s="22">
        <f>Params!$C7</f>
        <v>0.5</v>
      </c>
      <c r="CY5" s="22">
        <f>Params!$C7</f>
        <v>0.5</v>
      </c>
      <c r="CZ5" s="22">
        <f>Params!$C7</f>
        <v>0.5</v>
      </c>
      <c r="DA5" s="22">
        <f>Params!$C7</f>
        <v>0.5</v>
      </c>
      <c r="DB5" s="22">
        <f>Params!$C7</f>
        <v>0.5</v>
      </c>
      <c r="DC5" s="22">
        <f>Params!$C7</f>
        <v>0.5</v>
      </c>
      <c r="DD5" s="22">
        <f>Params!$C7</f>
        <v>0.5</v>
      </c>
      <c r="DE5" s="22">
        <f>Params!$C7</f>
        <v>0.5</v>
      </c>
      <c r="DF5" s="22">
        <f>Params!$C7</f>
        <v>0.5</v>
      </c>
      <c r="DG5" s="22">
        <f>Params!$C7</f>
        <v>0.5</v>
      </c>
      <c r="DH5" s="22">
        <f>Params!$C7</f>
        <v>0.5</v>
      </c>
      <c r="DI5" s="22">
        <f>Params!$C7</f>
        <v>0.5</v>
      </c>
      <c r="DJ5" s="22">
        <f>Params!$C7</f>
        <v>0.5</v>
      </c>
      <c r="DK5" s="22">
        <f>Params!$C7</f>
        <v>0.5</v>
      </c>
      <c r="DL5" s="22">
        <f>Params!$C7</f>
        <v>0.5</v>
      </c>
      <c r="DM5" s="22">
        <f>Params!$C7</f>
        <v>0.5</v>
      </c>
      <c r="DN5" s="22">
        <f>Params!$C7</f>
        <v>0.5</v>
      </c>
      <c r="DO5" s="22">
        <f>Params!$C7</f>
        <v>0.5</v>
      </c>
      <c r="DP5" s="22">
        <f>Params!$C7</f>
        <v>0.5</v>
      </c>
      <c r="DQ5" s="22">
        <f>Params!$C7</f>
        <v>0.5</v>
      </c>
      <c r="DR5" s="22">
        <f>Params!$C7</f>
        <v>0.5</v>
      </c>
      <c r="DS5" s="22">
        <f>Params!$C7</f>
        <v>0.5</v>
      </c>
      <c r="DT5" s="22">
        <f>Params!$C7</f>
        <v>0.5</v>
      </c>
      <c r="DU5" s="22">
        <f>Params!$C7</f>
        <v>0.5</v>
      </c>
      <c r="DV5" s="22">
        <f>Params!$C7</f>
        <v>0.5</v>
      </c>
      <c r="DW5" s="22">
        <f>Params!$C7</f>
        <v>0.5</v>
      </c>
      <c r="DX5" s="22">
        <f>Params!$C7</f>
        <v>0.5</v>
      </c>
      <c r="DY5" s="22">
        <f>Params!$C7</f>
        <v>0.5</v>
      </c>
      <c r="DZ5" s="22">
        <f>Params!$C7</f>
        <v>0.5</v>
      </c>
      <c r="EA5" s="22">
        <f>Params!$C7</f>
        <v>0.5</v>
      </c>
      <c r="EB5" s="22">
        <f>Params!$C7</f>
        <v>0.5</v>
      </c>
      <c r="EC5" s="22">
        <f>Params!$C7</f>
        <v>0.5</v>
      </c>
      <c r="ED5" s="22">
        <f>Params!$C7</f>
        <v>0.5</v>
      </c>
      <c r="EE5" s="22">
        <f>Params!$C7</f>
        <v>0.5</v>
      </c>
      <c r="EF5" s="22">
        <f>Params!$C7</f>
        <v>0.5</v>
      </c>
      <c r="EG5" s="22">
        <f>Params!$C7</f>
        <v>0.5</v>
      </c>
      <c r="EH5" s="22">
        <f>Params!$C7</f>
        <v>0.5</v>
      </c>
      <c r="EI5" s="22">
        <f>Params!$C7</f>
        <v>0.5</v>
      </c>
      <c r="EJ5" s="22">
        <f>Params!$C7</f>
        <v>0.5</v>
      </c>
      <c r="EK5" s="22">
        <f>Params!$C7</f>
        <v>0.5</v>
      </c>
      <c r="EL5" s="22">
        <f>Params!$C7</f>
        <v>0.5</v>
      </c>
      <c r="EM5" s="22">
        <f>Params!$C7</f>
        <v>0.5</v>
      </c>
      <c r="EN5" s="22">
        <f>Params!$C7</f>
        <v>0.5</v>
      </c>
      <c r="EO5" s="22">
        <f>Params!$C7</f>
        <v>0.5</v>
      </c>
      <c r="EP5" s="22">
        <f>Params!$C7</f>
        <v>0.5</v>
      </c>
      <c r="EQ5" s="22">
        <f>Params!$C7</f>
        <v>0.5</v>
      </c>
      <c r="ER5" s="22">
        <f>Params!$C7</f>
        <v>0.5</v>
      </c>
      <c r="ES5" s="22">
        <f>Params!$C7</f>
        <v>0.5</v>
      </c>
      <c r="ET5" s="22">
        <f>Params!$C7</f>
        <v>0.5</v>
      </c>
      <c r="EU5" s="22">
        <f>Params!$C7</f>
        <v>0.5</v>
      </c>
    </row>
    <row r="6" spans="1:151" ht="15">
      <c r="A6" s="21" t="s">
        <v>19</v>
      </c>
      <c r="B6" s="22">
        <f>Params!$C8</f>
        <v>0</v>
      </c>
      <c r="C6" s="22">
        <f>Params!$C8</f>
        <v>0</v>
      </c>
      <c r="D6" s="22">
        <f>Params!$C8</f>
        <v>0</v>
      </c>
      <c r="E6" s="22">
        <f>Params!$C8</f>
        <v>0</v>
      </c>
      <c r="F6" s="22">
        <f>Params!$C8</f>
        <v>0</v>
      </c>
      <c r="G6" s="22">
        <f>Params!$C8</f>
        <v>0</v>
      </c>
      <c r="H6" s="22">
        <f>Params!$C8</f>
        <v>0</v>
      </c>
      <c r="I6" s="22">
        <f>Params!$C8</f>
        <v>0</v>
      </c>
      <c r="J6" s="22">
        <f>Params!$C8</f>
        <v>0</v>
      </c>
      <c r="K6" s="22">
        <f>Params!$C8</f>
        <v>0</v>
      </c>
      <c r="L6" s="22">
        <f>Params!$C8</f>
        <v>0</v>
      </c>
      <c r="M6" s="22">
        <f>Params!$C8</f>
        <v>0</v>
      </c>
      <c r="N6" s="22">
        <f>Params!$C8</f>
        <v>0</v>
      </c>
      <c r="O6" s="22">
        <f>Params!$C8</f>
        <v>0</v>
      </c>
      <c r="P6" s="22">
        <f>Params!$C8</f>
        <v>0</v>
      </c>
      <c r="Q6" s="22">
        <f>Params!$C8</f>
        <v>0</v>
      </c>
      <c r="R6" s="22">
        <f>Params!$C8</f>
        <v>0</v>
      </c>
      <c r="S6" s="22">
        <f>Params!$C8</f>
        <v>0</v>
      </c>
      <c r="T6" s="22">
        <f>Params!$C8</f>
        <v>0</v>
      </c>
      <c r="U6" s="22">
        <f>Params!$C8</f>
        <v>0</v>
      </c>
      <c r="V6" s="22">
        <f>Params!$C8</f>
        <v>0</v>
      </c>
      <c r="W6" s="22">
        <f>Params!$C8</f>
        <v>0</v>
      </c>
      <c r="X6" s="22">
        <f>Params!$C8</f>
        <v>0</v>
      </c>
      <c r="Y6" s="22">
        <f>Params!$C8</f>
        <v>0</v>
      </c>
      <c r="Z6" s="22">
        <f>Params!$C8</f>
        <v>0</v>
      </c>
      <c r="AA6" s="22">
        <f>Params!$C8</f>
        <v>0</v>
      </c>
      <c r="AB6" s="22">
        <f>Params!$C8</f>
        <v>0</v>
      </c>
      <c r="AC6" s="22">
        <f>Params!$C8</f>
        <v>0</v>
      </c>
      <c r="AD6" s="22">
        <f>Params!$C8</f>
        <v>0</v>
      </c>
      <c r="AE6" s="22">
        <f>Params!$C8</f>
        <v>0</v>
      </c>
      <c r="AF6" s="22">
        <f>Params!$C8</f>
        <v>0</v>
      </c>
      <c r="AG6" s="22">
        <f>Params!$C8</f>
        <v>0</v>
      </c>
      <c r="AH6" s="22">
        <f>Params!$C8</f>
        <v>0</v>
      </c>
      <c r="AI6" s="22">
        <f>Params!$C8</f>
        <v>0</v>
      </c>
      <c r="AJ6" s="22">
        <f>Params!$C8</f>
        <v>0</v>
      </c>
      <c r="AK6" s="22">
        <f>Params!$C8</f>
        <v>0</v>
      </c>
      <c r="AL6" s="22">
        <f>Params!$C8</f>
        <v>0</v>
      </c>
      <c r="AM6" s="22">
        <f>Params!$C8</f>
        <v>0</v>
      </c>
      <c r="AN6" s="22">
        <f>Params!$C8</f>
        <v>0</v>
      </c>
      <c r="AO6" s="22">
        <f>Params!$C8</f>
        <v>0</v>
      </c>
      <c r="AP6" s="22">
        <f>Params!$C8</f>
        <v>0</v>
      </c>
      <c r="AQ6" s="22">
        <f>Params!$C8</f>
        <v>0</v>
      </c>
      <c r="AR6" s="22">
        <f>Params!$C8</f>
        <v>0</v>
      </c>
      <c r="AS6" s="22">
        <f>Params!$C8</f>
        <v>0</v>
      </c>
      <c r="AT6" s="22">
        <f>Params!$C8</f>
        <v>0</v>
      </c>
      <c r="AU6" s="22">
        <f>Params!$C8</f>
        <v>0</v>
      </c>
      <c r="AV6" s="22">
        <f>Params!$C8</f>
        <v>0</v>
      </c>
      <c r="AW6" s="22">
        <f>Params!$C8</f>
        <v>0</v>
      </c>
      <c r="AX6" s="22">
        <f>Params!$C8</f>
        <v>0</v>
      </c>
      <c r="AY6" s="22">
        <f>Params!$C8</f>
        <v>0</v>
      </c>
      <c r="AZ6" s="22">
        <f>Params!$C8</f>
        <v>0</v>
      </c>
      <c r="BA6" s="22">
        <f>Params!$C8</f>
        <v>0</v>
      </c>
      <c r="BB6" s="22">
        <f>Params!$C8</f>
        <v>0</v>
      </c>
      <c r="BC6" s="22">
        <f>Params!$C8</f>
        <v>0</v>
      </c>
      <c r="BD6" s="22">
        <f>Params!$C8</f>
        <v>0</v>
      </c>
      <c r="BE6" s="22">
        <f>Params!$C8</f>
        <v>0</v>
      </c>
      <c r="BF6" s="22">
        <f>Params!$C8</f>
        <v>0</v>
      </c>
      <c r="BG6" s="22">
        <f>Params!$C8</f>
        <v>0</v>
      </c>
      <c r="BH6" s="22">
        <f>Params!$C8</f>
        <v>0</v>
      </c>
      <c r="BI6" s="22">
        <f>Params!$C8</f>
        <v>0</v>
      </c>
      <c r="BJ6" s="22">
        <f>Params!$C8</f>
        <v>0</v>
      </c>
      <c r="BK6" s="22">
        <f>Params!$C8</f>
        <v>0</v>
      </c>
      <c r="BL6" s="22">
        <f>Params!$C8</f>
        <v>0</v>
      </c>
      <c r="BM6" s="22">
        <f>Params!$C8</f>
        <v>0</v>
      </c>
      <c r="BN6" s="22">
        <f>Params!$C8</f>
        <v>0</v>
      </c>
      <c r="BO6" s="22">
        <f>Params!$C8</f>
        <v>0</v>
      </c>
      <c r="BP6" s="22">
        <f>Params!$C8</f>
        <v>0</v>
      </c>
      <c r="BQ6" s="22">
        <f>Params!$C8</f>
        <v>0</v>
      </c>
      <c r="BR6" s="22">
        <f>Params!$C8</f>
        <v>0</v>
      </c>
      <c r="BS6" s="22">
        <f>Params!$C8</f>
        <v>0</v>
      </c>
      <c r="BT6" s="22">
        <f>Params!$C8</f>
        <v>0</v>
      </c>
      <c r="BU6" s="22">
        <f>Params!$C8</f>
        <v>0</v>
      </c>
      <c r="BV6" s="22">
        <f>Params!$C8</f>
        <v>0</v>
      </c>
      <c r="BW6" s="22">
        <f>Params!$C8</f>
        <v>0</v>
      </c>
      <c r="BX6" s="22">
        <f>Params!$C8</f>
        <v>0</v>
      </c>
      <c r="BY6" s="22">
        <f>Params!$C8</f>
        <v>0</v>
      </c>
      <c r="BZ6" s="22">
        <f>Params!$C8</f>
        <v>0</v>
      </c>
      <c r="CA6" s="22">
        <f>Params!$C8</f>
        <v>0</v>
      </c>
      <c r="CB6" s="22">
        <f>Params!$C8</f>
        <v>0</v>
      </c>
      <c r="CC6" s="22">
        <f>Params!$C8</f>
        <v>0</v>
      </c>
      <c r="CD6" s="22">
        <f>Params!$C8</f>
        <v>0</v>
      </c>
      <c r="CE6" s="22">
        <f>Params!$C8</f>
        <v>0</v>
      </c>
      <c r="CF6" s="22">
        <f>Params!$C8</f>
        <v>0</v>
      </c>
      <c r="CG6" s="22">
        <f>Params!$C8</f>
        <v>0</v>
      </c>
      <c r="CH6" s="22">
        <f>Params!$C8</f>
        <v>0</v>
      </c>
      <c r="CI6" s="22">
        <f>Params!$C8</f>
        <v>0</v>
      </c>
      <c r="CJ6" s="22">
        <f>Params!$C8</f>
        <v>0</v>
      </c>
      <c r="CK6" s="22">
        <f>Params!$C8</f>
        <v>0</v>
      </c>
      <c r="CL6" s="22">
        <f>Params!$C8</f>
        <v>0</v>
      </c>
      <c r="CM6" s="22">
        <f>Params!$C8</f>
        <v>0</v>
      </c>
      <c r="CN6" s="22">
        <f>Params!$C8</f>
        <v>0</v>
      </c>
      <c r="CO6" s="22">
        <f>Params!$C8</f>
        <v>0</v>
      </c>
      <c r="CP6" s="22">
        <f>Params!$C8</f>
        <v>0</v>
      </c>
      <c r="CQ6" s="22">
        <f>Params!$C8</f>
        <v>0</v>
      </c>
      <c r="CR6" s="22">
        <f>Params!$C8</f>
        <v>0</v>
      </c>
      <c r="CS6" s="22">
        <f>Params!$C8</f>
        <v>0</v>
      </c>
      <c r="CT6" s="22">
        <f>Params!$C8</f>
        <v>0</v>
      </c>
      <c r="CU6" s="22">
        <f>Params!$C8</f>
        <v>0</v>
      </c>
      <c r="CV6" s="22">
        <f>Params!$C8</f>
        <v>0</v>
      </c>
      <c r="CW6" s="22">
        <f>Params!$C8</f>
        <v>0</v>
      </c>
      <c r="CX6" s="22">
        <f>Params!$C8</f>
        <v>0</v>
      </c>
      <c r="CY6" s="22">
        <f>Params!$C8</f>
        <v>0</v>
      </c>
      <c r="CZ6" s="22">
        <f>Params!$C8</f>
        <v>0</v>
      </c>
      <c r="DA6" s="22">
        <f>Params!$C8</f>
        <v>0</v>
      </c>
      <c r="DB6" s="22">
        <f>Params!$C8</f>
        <v>0</v>
      </c>
      <c r="DC6" s="22">
        <f>Params!$C8</f>
        <v>0</v>
      </c>
      <c r="DD6" s="22">
        <f>Params!$C8</f>
        <v>0</v>
      </c>
      <c r="DE6" s="22">
        <f>Params!$C8</f>
        <v>0</v>
      </c>
      <c r="DF6" s="22">
        <f>Params!$C8</f>
        <v>0</v>
      </c>
      <c r="DG6" s="22">
        <f>Params!$C8</f>
        <v>0</v>
      </c>
      <c r="DH6" s="22">
        <f>Params!$C8</f>
        <v>0</v>
      </c>
      <c r="DI6" s="22">
        <f>Params!$C8</f>
        <v>0</v>
      </c>
      <c r="DJ6" s="22">
        <f>Params!$C8</f>
        <v>0</v>
      </c>
      <c r="DK6" s="22">
        <f>Params!$C8</f>
        <v>0</v>
      </c>
      <c r="DL6" s="22">
        <f>Params!$C8</f>
        <v>0</v>
      </c>
      <c r="DM6" s="22">
        <f>Params!$C8</f>
        <v>0</v>
      </c>
      <c r="DN6" s="22">
        <f>Params!$C8</f>
        <v>0</v>
      </c>
      <c r="DO6" s="22">
        <f>Params!$C8</f>
        <v>0</v>
      </c>
      <c r="DP6" s="22">
        <f>Params!$C8</f>
        <v>0</v>
      </c>
      <c r="DQ6" s="22">
        <f>Params!$C8</f>
        <v>0</v>
      </c>
      <c r="DR6" s="22">
        <f>Params!$C8</f>
        <v>0</v>
      </c>
      <c r="DS6" s="22">
        <f>Params!$C8</f>
        <v>0</v>
      </c>
      <c r="DT6" s="22">
        <f>Params!$C8</f>
        <v>0</v>
      </c>
      <c r="DU6" s="22">
        <f>Params!$C8</f>
        <v>0</v>
      </c>
      <c r="DV6" s="22">
        <f>Params!$C8</f>
        <v>0</v>
      </c>
      <c r="DW6" s="22">
        <f>Params!$C8</f>
        <v>0</v>
      </c>
      <c r="DX6" s="22">
        <f>Params!$C8</f>
        <v>0</v>
      </c>
      <c r="DY6" s="22">
        <f>Params!$C8</f>
        <v>0</v>
      </c>
      <c r="DZ6" s="22">
        <f>Params!$C8</f>
        <v>0</v>
      </c>
      <c r="EA6" s="22">
        <f>Params!$C8</f>
        <v>0</v>
      </c>
      <c r="EB6" s="22">
        <f>Params!$C8</f>
        <v>0</v>
      </c>
      <c r="EC6" s="22">
        <f>Params!$C8</f>
        <v>0</v>
      </c>
      <c r="ED6" s="22">
        <f>Params!$C8</f>
        <v>0</v>
      </c>
      <c r="EE6" s="22">
        <f>Params!$C8</f>
        <v>0</v>
      </c>
      <c r="EF6" s="22">
        <f>Params!$C8</f>
        <v>0</v>
      </c>
      <c r="EG6" s="22">
        <f>Params!$C8</f>
        <v>0</v>
      </c>
      <c r="EH6" s="22">
        <f>Params!$C8</f>
        <v>0</v>
      </c>
      <c r="EI6" s="22">
        <f>Params!$C8</f>
        <v>0</v>
      </c>
      <c r="EJ6" s="22">
        <f>Params!$C8</f>
        <v>0</v>
      </c>
      <c r="EK6" s="22">
        <f>Params!$C8</f>
        <v>0</v>
      </c>
      <c r="EL6" s="22">
        <f>Params!$C8</f>
        <v>0</v>
      </c>
      <c r="EM6" s="22">
        <f>Params!$C8</f>
        <v>0</v>
      </c>
      <c r="EN6" s="22">
        <f>Params!$C8</f>
        <v>0</v>
      </c>
      <c r="EO6" s="22">
        <f>Params!$C8</f>
        <v>0</v>
      </c>
      <c r="EP6" s="22">
        <f>Params!$C8</f>
        <v>0</v>
      </c>
      <c r="EQ6" s="22">
        <f>Params!$C8</f>
        <v>0</v>
      </c>
      <c r="ER6" s="22">
        <f>Params!$C8</f>
        <v>0</v>
      </c>
      <c r="ES6" s="22">
        <f>Params!$C8</f>
        <v>0</v>
      </c>
      <c r="ET6" s="22">
        <f>Params!$C8</f>
        <v>0</v>
      </c>
      <c r="EU6" s="22">
        <f>Params!$C8</f>
        <v>0</v>
      </c>
    </row>
    <row r="7" spans="1:151" ht="15">
      <c r="A7" s="5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</row>
    <row r="8" spans="1:151" ht="15">
      <c r="A8" s="14">
        <v>0</v>
      </c>
      <c r="B8" s="23">
        <f ca="1">RAND()*1000</f>
        <v>188.50547940758022</v>
      </c>
      <c r="C8" s="10">
        <f ca="1">SUM(B8:B11)*C$2-SUM(C9:C11)</f>
        <v>1583.0868092116107</v>
      </c>
      <c r="D8" s="10">
        <f t="shared" ref="D8:AY8" ca="1" si="101">SUM(C8:C11)*D$2-SUM(D9:D11)</f>
        <v>1931.5724042026332</v>
      </c>
      <c r="E8" s="10">
        <f t="shared" ca="1" si="101"/>
        <v>2479.2547931850681</v>
      </c>
      <c r="F8" s="10">
        <f t="shared" ca="1" si="101"/>
        <v>3732.7920351290459</v>
      </c>
      <c r="G8" s="10">
        <f t="shared" ca="1" si="101"/>
        <v>5385.3844260824626</v>
      </c>
      <c r="H8" s="10">
        <f t="shared" ca="1" si="101"/>
        <v>7144.5778884475258</v>
      </c>
      <c r="I8" s="10">
        <f t="shared" ca="1" si="101"/>
        <v>9594.7306332658209</v>
      </c>
      <c r="J8" s="10">
        <f t="shared" ca="1" si="101"/>
        <v>12823.404940873219</v>
      </c>
      <c r="K8" s="10">
        <f t="shared" ca="1" si="101"/>
        <v>16827.181093958854</v>
      </c>
      <c r="L8" s="10">
        <f t="shared" ca="1" si="101"/>
        <v>21809.50263700926</v>
      </c>
      <c r="M8" s="10">
        <f t="shared" ca="1" si="101"/>
        <v>28111.721348623869</v>
      </c>
      <c r="N8" s="10">
        <f t="shared" ca="1" si="101"/>
        <v>35937.742716659559</v>
      </c>
      <c r="O8" s="10">
        <f t="shared" ca="1" si="101"/>
        <v>45576.989747005653</v>
      </c>
      <c r="P8" s="10">
        <f t="shared" ca="1" si="101"/>
        <v>57434.461476360986</v>
      </c>
      <c r="Q8" s="10">
        <f t="shared" ca="1" si="101"/>
        <v>71965.671191530826</v>
      </c>
      <c r="R8" s="10">
        <f t="shared" ca="1" si="101"/>
        <v>89665.433150889963</v>
      </c>
      <c r="S8" s="10">
        <f t="shared" ca="1" si="101"/>
        <v>111146.02956580702</v>
      </c>
      <c r="T8" s="10">
        <f t="shared" ca="1" si="101"/>
        <v>137130.56003974529</v>
      </c>
      <c r="U8" s="10">
        <f t="shared" ca="1" si="101"/>
        <v>168449.17301204166</v>
      </c>
      <c r="V8" s="10">
        <f t="shared" ca="1" si="101"/>
        <v>206066.99238464743</v>
      </c>
      <c r="W8" s="10">
        <f t="shared" ca="1" si="101"/>
        <v>251116.68871617806</v>
      </c>
      <c r="X8" s="10">
        <f t="shared" ca="1" si="101"/>
        <v>304910.45927241369</v>
      </c>
      <c r="Y8" s="10">
        <f t="shared" ca="1" si="101"/>
        <v>368965.3367199176</v>
      </c>
      <c r="Z8" s="10">
        <f t="shared" ca="1" si="101"/>
        <v>445038.26605832705</v>
      </c>
      <c r="AA8" s="10">
        <f t="shared" ca="1" si="101"/>
        <v>535160.32172539574</v>
      </c>
      <c r="AB8" s="10">
        <f t="shared" ca="1" si="101"/>
        <v>641671.91562009789</v>
      </c>
      <c r="AC8" s="10">
        <f t="shared" ca="1" si="101"/>
        <v>767267.52833612822</v>
      </c>
      <c r="AD8" s="10">
        <f t="shared" ca="1" si="101"/>
        <v>915045.93930793065</v>
      </c>
      <c r="AE8" s="10">
        <f t="shared" ca="1" si="101"/>
        <v>1088564.8356937116</v>
      </c>
      <c r="AF8" s="10">
        <f t="shared" ca="1" si="101"/>
        <v>1291902.6877990514</v>
      </c>
      <c r="AG8" s="10">
        <f t="shared" ca="1" si="101"/>
        <v>1529729.5969586466</v>
      </c>
      <c r="AH8" s="10">
        <f t="shared" ca="1" si="101"/>
        <v>1807386.2989329514</v>
      </c>
      <c r="AI8" s="10">
        <f t="shared" ca="1" si="101"/>
        <v>2130972.5867529102</v>
      </c>
      <c r="AJ8" s="10">
        <f t="shared" ca="1" si="101"/>
        <v>2507446.9563463675</v>
      </c>
      <c r="AK8" s="10">
        <f t="shared" ca="1" si="101"/>
        <v>2944738.5100671751</v>
      </c>
      <c r="AL8" s="10">
        <f t="shared" ca="1" si="101"/>
        <v>3451872.1188442186</v>
      </c>
      <c r="AM8" s="10">
        <f t="shared" ca="1" si="101"/>
        <v>4039108.6295246705</v>
      </c>
      <c r="AN8" s="10">
        <f t="shared" ca="1" si="101"/>
        <v>4718101.8936356166</v>
      </c>
      <c r="AO8" s="10">
        <f t="shared" ca="1" si="101"/>
        <v>5502074.3378253616</v>
      </c>
      <c r="AP8" s="10">
        <f t="shared" ca="1" si="101"/>
        <v>6406013.1066860501</v>
      </c>
      <c r="AQ8" s="10">
        <f t="shared" ca="1" si="101"/>
        <v>7446889.1396731976</v>
      </c>
      <c r="AR8" s="10">
        <f t="shared" ca="1" si="101"/>
        <v>8643901.6679233629</v>
      </c>
      <c r="AS8" s="10">
        <f t="shared" ca="1" si="101"/>
        <v>10018750.855036577</v>
      </c>
      <c r="AT8" s="10">
        <f t="shared" ca="1" si="101"/>
        <v>11595941.644412402</v>
      </c>
      <c r="AU8" s="10">
        <f t="shared" ca="1" si="101"/>
        <v>13403122.186339598</v>
      </c>
      <c r="AV8" s="10">
        <f t="shared" ca="1" si="101"/>
        <v>15471460.524930131</v>
      </c>
      <c r="AW8" s="10">
        <f t="shared" ca="1" si="101"/>
        <v>17836063.608966764</v>
      </c>
      <c r="AX8" s="10">
        <f t="shared" ca="1" si="101"/>
        <v>20536443.111621216</v>
      </c>
      <c r="AY8" s="10">
        <f t="shared" ca="1" si="101"/>
        <v>23617032.982647441</v>
      </c>
      <c r="AZ8" s="10">
        <f t="shared" ref="AZ8" ca="1" si="102">SUM(AY8:AY11)*AZ$2-SUM(AZ9:AZ11)</f>
        <v>27127764.14073652</v>
      </c>
      <c r="BA8" s="10">
        <f t="shared" ref="BA8" ca="1" si="103">SUM(AZ8:AZ11)*BA$2-SUM(BA9:BA11)</f>
        <v>31124702.255377784</v>
      </c>
      <c r="BB8" s="10">
        <f t="shared" ref="BB8" ca="1" si="104">SUM(BA8:BA11)*BB$2-SUM(BB9:BB11)</f>
        <v>35670755.153749771</v>
      </c>
      <c r="BC8" s="10">
        <f t="shared" ref="BC8" ca="1" si="105">SUM(BB8:BB11)*BC$2-SUM(BC9:BC11)</f>
        <v>40836457.025107421</v>
      </c>
      <c r="BD8" s="10">
        <f t="shared" ref="BD8" ca="1" si="106">SUM(BC8:BC11)*BD$2-SUM(BD9:BD11)</f>
        <v>46700837.295287952</v>
      </c>
      <c r="BE8" s="10">
        <f t="shared" ref="BE8" ca="1" si="107">SUM(BD8:BD11)*BE$2-SUM(BE9:BE11)</f>
        <v>53352382.810247838</v>
      </c>
      <c r="BF8" s="10">
        <f t="shared" ref="BF8" ca="1" si="108">SUM(BE8:BE11)*BF$2-SUM(BF9:BF11)</f>
        <v>60890102.80187504</v>
      </c>
      <c r="BG8" s="10">
        <f t="shared" ref="BG8" ca="1" si="109">SUM(BF8:BF11)*BG$2-SUM(BG9:BG11)</f>
        <v>69424707.020477027</v>
      </c>
      <c r="BH8" s="10">
        <f t="shared" ref="BH8" ca="1" si="110">SUM(BG8:BG11)*BH$2-SUM(BH9:BH11)</f>
        <v>79079908.414131343</v>
      </c>
      <c r="BI8" s="10">
        <f t="shared" ref="BI8" ca="1" si="111">SUM(BH8:BH11)*BI$2-SUM(BI9:BI11)</f>
        <v>89993862.821258217</v>
      </c>
      <c r="BJ8" s="10">
        <f t="shared" ref="BJ8" ca="1" si="112">SUM(BI8:BI11)*BJ$2-SUM(BJ9:BJ11)</f>
        <v>102320759.32696283</v>
      </c>
      <c r="BK8" s="10">
        <f t="shared" ref="BK8" ca="1" si="113">SUM(BJ8:BJ11)*BK$2-SUM(BK9:BK11)</f>
        <v>116232576.22537398</v>
      </c>
      <c r="BL8" s="10">
        <f t="shared" ref="BL8" ca="1" si="114">SUM(BK8:BK11)*BL$2-SUM(BL9:BL11)</f>
        <v>131921018.93845505</v>
      </c>
      <c r="BM8" s="10">
        <f t="shared" ref="BM8" ca="1" si="115">SUM(BL8:BL11)*BM$2-SUM(BM9:BM11)</f>
        <v>149599657.77617061</v>
      </c>
      <c r="BN8" s="10">
        <f t="shared" ref="BN8" ca="1" si="116">SUM(BM8:BM11)*BN$2-SUM(BN9:BN11)</f>
        <v>169506285.09447247</v>
      </c>
      <c r="BO8" s="10">
        <f t="shared" ref="BO8" ca="1" si="117">SUM(BN8:BN11)*BO$2-SUM(BO9:BO11)</f>
        <v>191905513.22823435</v>
      </c>
      <c r="BP8" s="10">
        <f t="shared" ref="BP8" ca="1" si="118">SUM(BO8:BO11)*BP$2-SUM(BP9:BP11)</f>
        <v>217091636.55851841</v>
      </c>
      <c r="BQ8" s="10">
        <f t="shared" ref="BQ8" ca="1" si="119">SUM(BP8:BP11)*BQ$2-SUM(BQ9:BQ11)</f>
        <v>245391783.2310921</v>
      </c>
      <c r="BR8" s="10">
        <f t="shared" ref="BR8" ca="1" si="120">SUM(BQ8:BQ11)*BR$2-SUM(BR9:BR11)</f>
        <v>277169384.39081407</v>
      </c>
      <c r="BS8" s="10">
        <f t="shared" ref="BS8" ca="1" si="121">SUM(BR8:BR11)*BS$2-SUM(BS9:BS11)</f>
        <v>312827991.35044193</v>
      </c>
      <c r="BT8" s="10">
        <f t="shared" ref="BT8" ca="1" si="122">SUM(BS8:BS11)*BT$2-SUM(BT9:BT11)</f>
        <v>352815473.88980579</v>
      </c>
      <c r="BU8" s="10">
        <f t="shared" ref="BU8" ca="1" si="123">SUM(BT8:BT11)*BU$2-SUM(BU9:BU11)</f>
        <v>397628635.90093899</v>
      </c>
      <c r="BV8" s="10">
        <f t="shared" ref="BV8" ca="1" si="124">SUM(BU8:BU11)*BV$2-SUM(BV9:BV11)</f>
        <v>447818287.87680888</v>
      </c>
      <c r="BW8" s="10">
        <f t="shared" ref="BW8" ca="1" si="125">SUM(BV8:BV11)*BW$2-SUM(BW9:BW11)</f>
        <v>503994819.30768549</v>
      </c>
      <c r="BX8" s="10">
        <f t="shared" ref="BX8" ca="1" si="126">SUM(BW8:BW11)*BX$2-SUM(BX9:BX11)</f>
        <v>566834317.92338538</v>
      </c>
      <c r="BY8" s="10">
        <f t="shared" ref="BY8" ca="1" si="127">SUM(BX8:BX11)*BY$2-SUM(BY9:BY11)</f>
        <v>637085286.92719591</v>
      </c>
      <c r="BZ8" s="10">
        <f t="shared" ref="BZ8" ca="1" si="128">SUM(BY8:BY11)*BZ$2-SUM(BZ9:BZ11)</f>
        <v>715576015.93564177</v>
      </c>
      <c r="CA8" s="10">
        <f t="shared" ref="CA8" ca="1" si="129">SUM(BZ8:BZ11)*CA$2-SUM(CA9:CA11)</f>
        <v>803222666.29706764</v>
      </c>
      <c r="CB8" s="10">
        <f t="shared" ref="CB8" ca="1" si="130">SUM(CA8:CA11)*CB$2-SUM(CB9:CB11)</f>
        <v>901038136.84330702</v>
      </c>
      <c r="CC8" s="10">
        <f t="shared" ref="CC8" ca="1" si="131">SUM(CB8:CB11)*CC$2-SUM(CC9:CC11)</f>
        <v>1010141781.9669497</v>
      </c>
      <c r="CD8" s="10">
        <f t="shared" ref="CD8" ca="1" si="132">SUM(CC8:CC11)*CD$2-SUM(CD9:CD11)</f>
        <v>1131770060.2491679</v>
      </c>
      <c r="CE8" s="10">
        <f t="shared" ref="CE8" ca="1" si="133">SUM(CD8:CD11)*CE$2-SUM(CE9:CE11)</f>
        <v>1267288198.7298701</v>
      </c>
      <c r="CF8" s="10">
        <f t="shared" ref="CF8" ca="1" si="134">SUM(CE8:CE11)*CF$2-SUM(CF9:CF11)</f>
        <v>1418202965.356319</v>
      </c>
      <c r="CG8" s="10">
        <f t="shared" ref="CG8" ca="1" si="135">SUM(CF8:CF11)*CG$2-SUM(CG9:CG11)</f>
        <v>1586176650.2150187</v>
      </c>
      <c r="CH8" s="10">
        <f t="shared" ref="CH8" ca="1" si="136">SUM(CG8:CG11)*CH$2-SUM(CH9:CH11)</f>
        <v>1773042364.894815</v>
      </c>
      <c r="CI8" s="10">
        <f t="shared" ref="CI8" ca="1" si="137">SUM(CH8:CH11)*CI$2-SUM(CI9:CI11)</f>
        <v>1980820778.8009844</v>
      </c>
      <c r="CJ8" s="10">
        <f t="shared" ref="CJ8" ca="1" si="138">SUM(CI8:CI11)*CJ$2-SUM(CJ9:CJ11)</f>
        <v>2211738421.4988961</v>
      </c>
      <c r="CK8" s="10">
        <f t="shared" ref="CK8" ca="1" si="139">SUM(CJ8:CJ11)*CK$2-SUM(CK9:CK11)</f>
        <v>2468247691.2745099</v>
      </c>
      <c r="CL8" s="10">
        <f t="shared" ref="CL8" ca="1" si="140">SUM(CK8:CK11)*CL$2-SUM(CL9:CL11)</f>
        <v>2753048722.1251183</v>
      </c>
      <c r="CM8" s="10">
        <f t="shared" ref="CM8" ca="1" si="141">SUM(CL8:CL11)*CM$2-SUM(CM9:CM11)</f>
        <v>3069113274.4101963</v>
      </c>
      <c r="CN8" s="10">
        <f t="shared" ref="CN8" ca="1" si="142">SUM(CM8:CM11)*CN$2-SUM(CN9:CN11)</f>
        <v>3419710828.4775734</v>
      </c>
      <c r="CO8" s="10">
        <f t="shared" ref="CO8" ca="1" si="143">SUM(CN8:CN11)*CO$2-SUM(CO9:CO11)</f>
        <v>3808437075.8184118</v>
      </c>
      <c r="CP8" s="10">
        <f t="shared" ref="CP8" ca="1" si="144">SUM(CO8:CO11)*CP$2-SUM(CP9:CP11)</f>
        <v>4239245018.7869015</v>
      </c>
      <c r="CQ8" s="10">
        <f t="shared" ref="CQ8" ca="1" si="145">SUM(CP8:CP11)*CQ$2-SUM(CQ9:CQ11)</f>
        <v>4716478907.7446232</v>
      </c>
      <c r="CR8" s="10">
        <f t="shared" ref="CR8" ca="1" si="146">SUM(CQ8:CQ11)*CR$2-SUM(CR9:CR11)</f>
        <v>5244911263.7602692</v>
      </c>
      <c r="CS8" s="10">
        <f t="shared" ref="CS8" ca="1" si="147">SUM(CR8:CR11)*CS$2-SUM(CS9:CS11)</f>
        <v>5829783255.8259487</v>
      </c>
      <c r="CT8" s="10">
        <f t="shared" ref="CT8" ca="1" si="148">SUM(CS8:CS11)*CT$2-SUM(CT9:CT11)</f>
        <v>6476848724.0633411</v>
      </c>
      <c r="CU8" s="10">
        <f t="shared" ref="CU8" ca="1" si="149">SUM(CT8:CT11)*CU$2-SUM(CU9:CU11)</f>
        <v>7192422164.7167091</v>
      </c>
      <c r="CV8" s="10">
        <f t="shared" ref="CV8" ca="1" si="150">SUM(CU8:CU11)*CV$2-SUM(CV9:CV11)</f>
        <v>7983431019.0063686</v>
      </c>
      <c r="CW8" s="10">
        <f t="shared" ref="CW8" ca="1" si="151">SUM(CV8:CV11)*CW$2-SUM(CW9:CW11)</f>
        <v>8857472636.2958355</v>
      </c>
      <c r="CX8" s="10">
        <f t="shared" ref="CX8" ca="1" si="152">SUM(CW8:CW11)*CX$2-SUM(CX9:CX11)</f>
        <v>9822876312.6717339</v>
      </c>
      <c r="CY8" s="10">
        <f t="shared" ref="CY8" ca="1" si="153">SUM(CX8:CX11)*CY$2-SUM(CY9:CY11)</f>
        <v>10888770839.120708</v>
      </c>
      <c r="CZ8" s="10">
        <f t="shared" ref="CZ8" ca="1" si="154">SUM(CY8:CY11)*CZ$2-SUM(CZ9:CZ11)</f>
        <v>12065158029.200684</v>
      </c>
      <c r="DA8" s="10">
        <f t="shared" ref="DA8" ca="1" si="155">SUM(CZ8:CZ11)*DA$2-SUM(DA9:DA11)</f>
        <v>13362992734.644821</v>
      </c>
      <c r="DB8" s="10">
        <f t="shared" ref="DB8" ca="1" si="156">SUM(DA8:DA11)*DB$2-SUM(DB9:DB11)</f>
        <v>14794269898.921944</v>
      </c>
      <c r="DC8" s="10">
        <f t="shared" ref="DC8" ca="1" si="157">SUM(DB8:DB11)*DC$2-SUM(DC9:DC11)</f>
        <v>16372119243.639149</v>
      </c>
      <c r="DD8" s="10">
        <f t="shared" ref="DD8" ca="1" si="158">SUM(DC8:DC11)*DD$2-SUM(DD9:DD11)</f>
        <v>18110908231.058811</v>
      </c>
      <c r="DE8" s="10">
        <f t="shared" ref="DE8" ca="1" si="159">SUM(DD8:DD11)*DE$2-SUM(DE9:DE11)</f>
        <v>20026353998.182343</v>
      </c>
      <c r="DF8" s="10">
        <f t="shared" ref="DF8" ca="1" si="160">SUM(DE8:DE11)*DF$2-SUM(DF9:DF11)</f>
        <v>22135645014.110542</v>
      </c>
      <c r="DG8" s="10">
        <f t="shared" ref="DG8" ca="1" si="161">SUM(DF8:DF11)*DG$2-SUM(DG9:DG11)</f>
        <v>24457573273.037224</v>
      </c>
      <c r="DH8" s="10">
        <f t="shared" ref="DH8" ca="1" si="162">SUM(DG8:DG11)*DH$2-SUM(DH9:DH11)</f>
        <v>27012677900.594711</v>
      </c>
      <c r="DI8" s="10">
        <f t="shared" ref="DI8" ca="1" si="163">SUM(DH8:DH11)*DI$2-SUM(DI9:DI11)</f>
        <v>29823401121.7043</v>
      </c>
      <c r="DJ8" s="10">
        <f t="shared" ref="DJ8" ca="1" si="164">SUM(DI8:DI11)*DJ$2-SUM(DJ9:DJ11)</f>
        <v>32914257613.970497</v>
      </c>
      <c r="DK8" s="10">
        <f t="shared" ref="DK8" ca="1" si="165">SUM(DJ8:DJ11)*DK$2-SUM(DK9:DK11)</f>
        <v>36312018352.401947</v>
      </c>
      <c r="DL8" s="10">
        <f t="shared" ref="DL8" ca="1" si="166">SUM(DK8:DK11)*DL$2-SUM(DL9:DL11)</f>
        <v>40045910139.282036</v>
      </c>
      <c r="DM8" s="10">
        <f t="shared" ref="DM8" ca="1" si="167">SUM(DL8:DL11)*DM$2-SUM(DM9:DM11)</f>
        <v>44147832107.816208</v>
      </c>
      <c r="DN8" s="10">
        <f t="shared" ref="DN8" ca="1" si="168">SUM(DM8:DM11)*DN$2-SUM(DN9:DN11)</f>
        <v>48652590590.252823</v>
      </c>
      <c r="DO8" s="10">
        <f t="shared" ref="DO8" ca="1" si="169">SUM(DN8:DN11)*DO$2-SUM(DO9:DO11)</f>
        <v>53598153851.049835</v>
      </c>
      <c r="DP8" s="10">
        <f t="shared" ref="DP8" ca="1" si="170">SUM(DO8:DO11)*DP$2-SUM(DP9:DP11)</f>
        <v>59025928303.913116</v>
      </c>
      <c r="DQ8" s="10">
        <f t="shared" ref="DQ8" ca="1" si="171">SUM(DP8:DP11)*DQ$2-SUM(DQ9:DQ11)</f>
        <v>64981057958.789108</v>
      </c>
      <c r="DR8" s="10">
        <f t="shared" ref="DR8" ca="1" si="172">SUM(DQ8:DQ11)*DR$2-SUM(DR9:DR11)</f>
        <v>71512748981.806915</v>
      </c>
      <c r="DS8" s="10">
        <f t="shared" ref="DS8" ca="1" si="173">SUM(DR8:DR11)*DS$2-SUM(DS9:DS11)</f>
        <v>78674621398.452927</v>
      </c>
      <c r="DT8" s="10">
        <f t="shared" ref="DT8" ca="1" si="174">SUM(DS8:DS11)*DT$2-SUM(DT9:DT11)</f>
        <v>86525090128.674103</v>
      </c>
      <c r="DU8" s="10">
        <f t="shared" ref="DU8" ca="1" si="175">SUM(DT8:DT11)*DU$2-SUM(DU9:DU11)</f>
        <v>95127777712.965454</v>
      </c>
      <c r="DV8" s="10">
        <f t="shared" ref="DV8" ca="1" si="176">SUM(DU8:DU11)*DV$2-SUM(DV9:DV11)</f>
        <v>104551961271.66891</v>
      </c>
      <c r="DW8" s="10">
        <f t="shared" ref="DW8" ca="1" si="177">SUM(DV8:DV11)*DW$2-SUM(DW9:DW11)</f>
        <v>114873056436.6297</v>
      </c>
      <c r="DX8" s="10">
        <f t="shared" ref="DX8" ca="1" si="178">SUM(DW8:DW11)*DX$2-SUM(DX9:DX11)</f>
        <v>126173141206.01996</v>
      </c>
      <c r="DY8" s="10">
        <f t="shared" ref="DY8" ca="1" si="179">SUM(DX8:DX11)*DY$2-SUM(DY9:DY11)</f>
        <v>138541522900.6163</v>
      </c>
      <c r="DZ8" s="10">
        <f t="shared" ref="DZ8" ca="1" si="180">SUM(DY8:DY11)*DZ$2-SUM(DZ9:DZ11)</f>
        <v>152075351644.25055</v>
      </c>
      <c r="EA8" s="10">
        <f t="shared" ref="EA8" ca="1" si="181">SUM(DZ8:DZ11)*EA$2-SUM(EA9:EA11)</f>
        <v>166880284053.77002</v>
      </c>
      <c r="EB8" s="10">
        <f t="shared" ref="EB8" ca="1" si="182">SUM(EA8:EA11)*EB$2-SUM(EB9:EB11)</f>
        <v>183071201105.94116</v>
      </c>
      <c r="EC8" s="10">
        <f t="shared" ref="EC8" ca="1" si="183">SUM(EB8:EB11)*EC$2-SUM(EC9:EC11)</f>
        <v>200772984451.72852</v>
      </c>
      <c r="ED8" s="10">
        <f t="shared" ref="ED8" ca="1" si="184">SUM(EC8:EC11)*ED$2-SUM(ED9:ED11)</f>
        <v>220121355773.76074</v>
      </c>
      <c r="EE8" s="10">
        <f t="shared" ref="EE8" ca="1" si="185">SUM(ED8:ED11)*EE$2-SUM(EE9:EE11)</f>
        <v>241263784132.1637</v>
      </c>
      <c r="EF8" s="10">
        <f t="shared" ref="EF8" ca="1" si="186">SUM(EE8:EE11)*EF$2-SUM(EF9:EF11)</f>
        <v>264360466619.01654</v>
      </c>
      <c r="EG8" s="10">
        <f t="shared" ref="EG8" ca="1" si="187">SUM(EF8:EF11)*EG$2-SUM(EG9:EG11)</f>
        <v>289585388044.29846</v>
      </c>
      <c r="EH8" s="10">
        <f t="shared" ref="EH8" ca="1" si="188">SUM(EG8:EG11)*EH$2-SUM(EH9:EH11)</f>
        <v>317127465808.29425</v>
      </c>
      <c r="EI8" s="10">
        <f t="shared" ref="EI8" ca="1" si="189">SUM(EH8:EH11)*EI$2-SUM(EI9:EI11)</f>
        <v>347191786579.11523</v>
      </c>
      <c r="EJ8" s="10">
        <f t="shared" ref="EJ8" ca="1" si="190">SUM(EI8:EI11)*EJ$2-SUM(EJ9:EJ11)</f>
        <v>380000941891.51721</v>
      </c>
      <c r="EK8" s="10">
        <f t="shared" ref="EK8" ca="1" si="191">SUM(EJ8:EJ11)*EK$2-SUM(EK9:EK11)</f>
        <v>415796470316.92163</v>
      </c>
      <c r="EL8" s="10">
        <f t="shared" ref="EL8" ca="1" si="192">SUM(EK8:EK11)*EL$2-SUM(EL9:EL11)</f>
        <v>454840414427.05933</v>
      </c>
      <c r="EM8" s="10">
        <f t="shared" ref="EM8" ca="1" si="193">SUM(EL8:EL11)*EM$2-SUM(EM9:EM11)</f>
        <v>497417001387.65918</v>
      </c>
      <c r="EN8" s="10">
        <f t="shared" ref="EN8" ca="1" si="194">SUM(EM8:EM11)*EN$2-SUM(EN9:EN11)</f>
        <v>543834456677.04492</v>
      </c>
      <c r="EO8" s="10">
        <f t="shared" ref="EO8" ca="1" si="195">SUM(EN8:EN11)*EO$2-SUM(EO9:EO11)</f>
        <v>594426961130.46472</v>
      </c>
      <c r="EP8" s="10">
        <f t="shared" ref="EP8" ca="1" si="196">SUM(EO8:EO11)*EP$2-SUM(EP9:EP11)</f>
        <v>649556762267.81396</v>
      </c>
      <c r="EQ8" s="10">
        <f t="shared" ref="EQ8" ca="1" si="197">SUM(EP8:EP11)*EQ$2-SUM(EQ9:EQ11)</f>
        <v>709616451673.67163</v>
      </c>
      <c r="ER8" s="10">
        <f t="shared" ref="ER8" ca="1" si="198">SUM(EQ8:EQ11)*ER$2-SUM(ER9:ER11)</f>
        <v>775031421068.03979</v>
      </c>
      <c r="ES8" s="10">
        <f t="shared" ref="ES8" ca="1" si="199">SUM(ER8:ER11)*ES$2-SUM(ES9:ES11)</f>
        <v>846262510637.92578</v>
      </c>
      <c r="ET8" s="10">
        <f t="shared" ref="ET8" ca="1" si="200">SUM(ES8:ES11)*ET$2-SUM(ET9:ET11)</f>
        <v>923808864198.2373</v>
      </c>
      <c r="EU8" s="10">
        <f t="shared" ref="EU8" ca="1" si="201">SUM(ET8:ET11)*EU$2-SUM(EU9:EU11)</f>
        <v>1008211006820.0317</v>
      </c>
    </row>
    <row r="9" spans="1:151" ht="15">
      <c r="A9" s="14">
        <f>A8+1</f>
        <v>1</v>
      </c>
      <c r="B9" s="23">
        <f t="shared" ref="B9:B11" ca="1" si="202">RAND()*1000</f>
        <v>210.03499331060661</v>
      </c>
      <c r="C9" s="10">
        <f ca="1">B8*C3</f>
        <v>179.08020543720122</v>
      </c>
      <c r="D9" s="10">
        <f t="shared" ref="D9:AY11" ca="1" si="203">C8*D3</f>
        <v>1503.93246875103</v>
      </c>
      <c r="E9" s="10">
        <f t="shared" ca="1" si="203"/>
        <v>1834.9937839925014</v>
      </c>
      <c r="F9" s="10">
        <f t="shared" ca="1" si="203"/>
        <v>2355.2920535258145</v>
      </c>
      <c r="G9" s="10">
        <f t="shared" ca="1" si="203"/>
        <v>3546.1524333725934</v>
      </c>
      <c r="H9" s="10">
        <f t="shared" ca="1" si="203"/>
        <v>5116.1152047783389</v>
      </c>
      <c r="I9" s="10">
        <f t="shared" ca="1" si="203"/>
        <v>6787.3489940251493</v>
      </c>
      <c r="J9" s="10">
        <f t="shared" ca="1" si="203"/>
        <v>9114.9941016025296</v>
      </c>
      <c r="K9" s="10">
        <f t="shared" ca="1" si="203"/>
        <v>12182.234693829558</v>
      </c>
      <c r="L9" s="10">
        <f t="shared" ca="1" si="203"/>
        <v>15985.822039260911</v>
      </c>
      <c r="M9" s="10">
        <f t="shared" ca="1" si="203"/>
        <v>20719.027505158796</v>
      </c>
      <c r="N9" s="10">
        <f t="shared" ca="1" si="203"/>
        <v>26706.135281192674</v>
      </c>
      <c r="O9" s="10">
        <f t="shared" ca="1" si="203"/>
        <v>34140.855580826581</v>
      </c>
      <c r="P9" s="10">
        <f t="shared" ca="1" si="203"/>
        <v>43298.140259655367</v>
      </c>
      <c r="Q9" s="10">
        <f t="shared" ca="1" si="203"/>
        <v>54562.738402542935</v>
      </c>
      <c r="R9" s="10">
        <f t="shared" ca="1" si="203"/>
        <v>68367.387631954276</v>
      </c>
      <c r="S9" s="10">
        <f t="shared" ca="1" si="203"/>
        <v>85182.161493345455</v>
      </c>
      <c r="T9" s="10">
        <f t="shared" ca="1" si="203"/>
        <v>105588.72808751666</v>
      </c>
      <c r="U9" s="10">
        <f t="shared" ca="1" si="203"/>
        <v>130274.03203775802</v>
      </c>
      <c r="V9" s="10">
        <f t="shared" ca="1" si="203"/>
        <v>160026.71436143958</v>
      </c>
      <c r="W9" s="10">
        <f t="shared" ca="1" si="203"/>
        <v>195763.64276541505</v>
      </c>
      <c r="X9" s="10">
        <f t="shared" ca="1" si="203"/>
        <v>238560.85428036915</v>
      </c>
      <c r="Y9" s="10">
        <f t="shared" ca="1" si="203"/>
        <v>289664.93630879297</v>
      </c>
      <c r="Z9" s="10">
        <f t="shared" ca="1" si="203"/>
        <v>350517.06988392171</v>
      </c>
      <c r="AA9" s="10">
        <f t="shared" ca="1" si="203"/>
        <v>422786.35275541065</v>
      </c>
      <c r="AB9" s="10">
        <f t="shared" ca="1" si="203"/>
        <v>508402.30563912593</v>
      </c>
      <c r="AC9" s="10">
        <f t="shared" ca="1" si="203"/>
        <v>609588.31983909302</v>
      </c>
      <c r="AD9" s="10">
        <f t="shared" ca="1" si="203"/>
        <v>728904.15191932174</v>
      </c>
      <c r="AE9" s="10">
        <f t="shared" ca="1" si="203"/>
        <v>869293.64234253403</v>
      </c>
      <c r="AF9" s="10">
        <f t="shared" ca="1" si="203"/>
        <v>1034136.593909026</v>
      </c>
      <c r="AG9" s="10">
        <f t="shared" ca="1" si="203"/>
        <v>1227307.5534090989</v>
      </c>
      <c r="AH9" s="10">
        <f t="shared" ca="1" si="203"/>
        <v>1453243.1171107141</v>
      </c>
      <c r="AI9" s="10">
        <f t="shared" ca="1" si="203"/>
        <v>1717016.9839863037</v>
      </c>
      <c r="AJ9" s="10">
        <f t="shared" ca="1" si="203"/>
        <v>2024423.9574152646</v>
      </c>
      <c r="AK9" s="10">
        <f t="shared" ca="1" si="203"/>
        <v>2382074.608529049</v>
      </c>
      <c r="AL9" s="10">
        <f t="shared" ca="1" si="203"/>
        <v>2797501.5845638164</v>
      </c>
      <c r="AM9" s="10">
        <f t="shared" ca="1" si="203"/>
        <v>3279278.5129020074</v>
      </c>
      <c r="AN9" s="10">
        <f t="shared" ca="1" si="203"/>
        <v>3837153.198048437</v>
      </c>
      <c r="AO9" s="10">
        <f t="shared" ca="1" si="203"/>
        <v>4482196.7989538359</v>
      </c>
      <c r="AP9" s="10">
        <f t="shared" ca="1" si="203"/>
        <v>5226970.6209340934</v>
      </c>
      <c r="AQ9" s="10">
        <f t="shared" ca="1" si="203"/>
        <v>6085712.4513517469</v>
      </c>
      <c r="AR9" s="10">
        <f t="shared" ca="1" si="203"/>
        <v>7074544.6826895373</v>
      </c>
      <c r="AS9" s="10">
        <f t="shared" ca="1" si="203"/>
        <v>8211706.5845271945</v>
      </c>
      <c r="AT9" s="10">
        <f t="shared" ca="1" si="203"/>
        <v>9517813.3122847471</v>
      </c>
      <c r="AU9" s="10">
        <f t="shared" ca="1" si="203"/>
        <v>11016144.562191781</v>
      </c>
      <c r="AV9" s="10">
        <f t="shared" ca="1" si="203"/>
        <v>12732966.077022618</v>
      </c>
      <c r="AW9" s="10">
        <f t="shared" ca="1" si="203"/>
        <v>14697887.498683624</v>
      </c>
      <c r="AX9" s="10">
        <f t="shared" ca="1" si="203"/>
        <v>16944260.428518426</v>
      </c>
      <c r="AY9" s="10">
        <f t="shared" ca="1" si="203"/>
        <v>19509620.956040155</v>
      </c>
      <c r="AZ9" s="10">
        <f t="shared" ref="AZ9:CW9" ca="1" si="204">AY8*AZ3</f>
        <v>22436181.333515067</v>
      </c>
      <c r="BA9" s="10">
        <f t="shared" ca="1" si="204"/>
        <v>25771375.933699694</v>
      </c>
      <c r="BB9" s="10">
        <f t="shared" ca="1" si="204"/>
        <v>29568467.142608892</v>
      </c>
      <c r="BC9" s="10">
        <f t="shared" ca="1" si="204"/>
        <v>33887217.396062285</v>
      </c>
      <c r="BD9" s="10">
        <f t="shared" ca="1" si="204"/>
        <v>38794634.173852049</v>
      </c>
      <c r="BE9" s="10">
        <f t="shared" ca="1" si="204"/>
        <v>44365795.430523552</v>
      </c>
      <c r="BF9" s="10">
        <f t="shared" ca="1" si="204"/>
        <v>50684763.669735447</v>
      </c>
      <c r="BG9" s="10">
        <f t="shared" ca="1" si="204"/>
        <v>57845597.661781289</v>
      </c>
      <c r="BH9" s="10">
        <f t="shared" ca="1" si="204"/>
        <v>65953471.669453174</v>
      </c>
      <c r="BI9" s="10">
        <f t="shared" ca="1" si="204"/>
        <v>75125912.993424773</v>
      </c>
      <c r="BJ9" s="10">
        <f t="shared" ca="1" si="204"/>
        <v>85494169.680195302</v>
      </c>
      <c r="BK9" s="10">
        <f t="shared" ca="1" si="204"/>
        <v>97204721.360614687</v>
      </c>
      <c r="BL9" s="10">
        <f t="shared" ca="1" si="204"/>
        <v>110420947.41410528</v>
      </c>
      <c r="BM9" s="10">
        <f t="shared" ca="1" si="204"/>
        <v>125324967.99153228</v>
      </c>
      <c r="BN9" s="10">
        <f t="shared" ca="1" si="204"/>
        <v>142119674.88736206</v>
      </c>
      <c r="BO9" s="10">
        <f t="shared" ca="1" si="204"/>
        <v>161030970.83974883</v>
      </c>
      <c r="BP9" s="10">
        <f t="shared" ca="1" si="204"/>
        <v>182310237.56682262</v>
      </c>
      <c r="BQ9" s="10">
        <f t="shared" ca="1" si="204"/>
        <v>206237054.73059249</v>
      </c>
      <c r="BR9" s="10">
        <f t="shared" ca="1" si="204"/>
        <v>233122194.06953749</v>
      </c>
      <c r="BS9" s="10">
        <f t="shared" ca="1" si="204"/>
        <v>263310915.17127335</v>
      </c>
      <c r="BT9" s="10">
        <f t="shared" ca="1" si="204"/>
        <v>297186591.78291982</v>
      </c>
      <c r="BU9" s="10">
        <f t="shared" ca="1" si="204"/>
        <v>335174700.19531548</v>
      </c>
      <c r="BV9" s="10">
        <f t="shared" ca="1" si="204"/>
        <v>377747204.105892</v>
      </c>
      <c r="BW9" s="10">
        <f t="shared" ca="1" si="204"/>
        <v>425427373.48296839</v>
      </c>
      <c r="BX9" s="10">
        <f t="shared" ca="1" si="204"/>
        <v>478795078.34230119</v>
      </c>
      <c r="BY9" s="10">
        <f t="shared" ca="1" si="204"/>
        <v>538492602.02721608</v>
      </c>
      <c r="BZ9" s="10">
        <f t="shared" ca="1" si="204"/>
        <v>605231022.58083606</v>
      </c>
      <c r="CA9" s="10">
        <f t="shared" ca="1" si="204"/>
        <v>679797215.13885963</v>
      </c>
      <c r="CB9" s="10">
        <f t="shared" ca="1" si="204"/>
        <v>763061532.98221421</v>
      </c>
      <c r="CC9" s="10">
        <f t="shared" ca="1" si="204"/>
        <v>855986230.00114167</v>
      </c>
      <c r="CD9" s="10">
        <f t="shared" ca="1" si="204"/>
        <v>959634692.86860216</v>
      </c>
      <c r="CE9" s="10">
        <f t="shared" ca="1" si="204"/>
        <v>1075181557.2367094</v>
      </c>
      <c r="CF9" s="10">
        <f t="shared" ca="1" si="204"/>
        <v>1203923788.7933764</v>
      </c>
      <c r="CG9" s="10">
        <f t="shared" ca="1" si="204"/>
        <v>1347292817.0885029</v>
      </c>
      <c r="CH9" s="10">
        <f t="shared" ca="1" si="204"/>
        <v>1506867817.7042677</v>
      </c>
      <c r="CI9" s="10">
        <f t="shared" ca="1" si="204"/>
        <v>1684390246.6500742</v>
      </c>
      <c r="CJ9" s="10">
        <f t="shared" ca="1" si="204"/>
        <v>1881779739.860935</v>
      </c>
      <c r="CK9" s="10">
        <f t="shared" ca="1" si="204"/>
        <v>2101151500.4239511</v>
      </c>
      <c r="CL9" s="10">
        <f t="shared" ca="1" si="204"/>
        <v>2344835306.7107844</v>
      </c>
      <c r="CM9" s="10">
        <f t="shared" ca="1" si="204"/>
        <v>2615396286.0188622</v>
      </c>
      <c r="CN9" s="10">
        <f t="shared" ca="1" si="204"/>
        <v>2915657610.6896863</v>
      </c>
      <c r="CO9" s="10">
        <f t="shared" ca="1" si="204"/>
        <v>3248725287.0536947</v>
      </c>
      <c r="CP9" s="10">
        <f t="shared" ca="1" si="204"/>
        <v>3618015222.0274911</v>
      </c>
      <c r="CQ9" s="10">
        <f t="shared" ca="1" si="204"/>
        <v>4027282767.8475561</v>
      </c>
      <c r="CR9" s="10">
        <f t="shared" ca="1" si="204"/>
        <v>4480654962.3573914</v>
      </c>
      <c r="CS9" s="10">
        <f t="shared" ca="1" si="204"/>
        <v>4982665700.5722551</v>
      </c>
      <c r="CT9" s="10">
        <f t="shared" ca="1" si="204"/>
        <v>5538294093.0346508</v>
      </c>
      <c r="CU9" s="10">
        <f t="shared" ca="1" si="204"/>
        <v>6153006287.8601742</v>
      </c>
      <c r="CV9" s="10">
        <f t="shared" ca="1" si="204"/>
        <v>6832801056.4808731</v>
      </c>
      <c r="CW9" s="10">
        <f t="shared" ca="1" si="204"/>
        <v>7584259468.0560503</v>
      </c>
      <c r="CX9" s="10">
        <f t="shared" ref="CX9:EP9" ca="1" si="205">CW8*CX3</f>
        <v>8414599004.4810429</v>
      </c>
      <c r="CY9" s="10">
        <f t="shared" ca="1" si="205"/>
        <v>9331732497.038147</v>
      </c>
      <c r="CZ9" s="10">
        <f t="shared" ca="1" si="205"/>
        <v>10344332297.164673</v>
      </c>
      <c r="DA9" s="10">
        <f t="shared" ca="1" si="205"/>
        <v>11461900127.740648</v>
      </c>
      <c r="DB9" s="10">
        <f t="shared" ca="1" si="205"/>
        <v>12694843097.912579</v>
      </c>
      <c r="DC9" s="10">
        <f t="shared" ca="1" si="205"/>
        <v>14054556403.975845</v>
      </c>
      <c r="DD9" s="10">
        <f t="shared" ca="1" si="205"/>
        <v>15553513281.457191</v>
      </c>
      <c r="DE9" s="10">
        <f t="shared" ca="1" si="205"/>
        <v>17205362819.505871</v>
      </c>
      <c r="DF9" s="10">
        <f t="shared" ca="1" si="205"/>
        <v>19025036298.273224</v>
      </c>
      <c r="DG9" s="10">
        <f t="shared" ca="1" si="205"/>
        <v>21028862763.405014</v>
      </c>
      <c r="DH9" s="10">
        <f t="shared" ca="1" si="205"/>
        <v>23234694609.385361</v>
      </c>
      <c r="DI9" s="10">
        <f t="shared" ca="1" si="205"/>
        <v>25662044005.564976</v>
      </c>
      <c r="DJ9" s="10">
        <f t="shared" ca="1" si="205"/>
        <v>28332231065.619083</v>
      </c>
      <c r="DK9" s="10">
        <f t="shared" ca="1" si="205"/>
        <v>31268544733.271973</v>
      </c>
      <c r="DL9" s="10">
        <f t="shared" ca="1" si="205"/>
        <v>34496417434.781845</v>
      </c>
      <c r="DM9" s="10">
        <f t="shared" ca="1" si="205"/>
        <v>38043614632.317932</v>
      </c>
      <c r="DN9" s="10">
        <f t="shared" ca="1" si="205"/>
        <v>41940440502.425392</v>
      </c>
      <c r="DO9" s="10">
        <f t="shared" ca="1" si="205"/>
        <v>46219961060.740181</v>
      </c>
      <c r="DP9" s="10">
        <f t="shared" ca="1" si="205"/>
        <v>50918246158.497337</v>
      </c>
      <c r="DQ9" s="10">
        <f t="shared" ca="1" si="205"/>
        <v>56074631888.717461</v>
      </c>
      <c r="DR9" s="10">
        <f t="shared" ca="1" si="205"/>
        <v>61732005060.849648</v>
      </c>
      <c r="DS9" s="10">
        <f t="shared" ca="1" si="205"/>
        <v>67937111532.716568</v>
      </c>
      <c r="DT9" s="10">
        <f t="shared" ca="1" si="205"/>
        <v>74740890328.530273</v>
      </c>
      <c r="DU9" s="10">
        <f t="shared" ca="1" si="205"/>
        <v>82198835622.240387</v>
      </c>
      <c r="DV9" s="10">
        <f t="shared" ca="1" si="205"/>
        <v>90371388827.317184</v>
      </c>
      <c r="DW9" s="10">
        <f t="shared" ca="1" si="205"/>
        <v>99324363208.085464</v>
      </c>
      <c r="DX9" s="10">
        <f t="shared" ca="1" si="205"/>
        <v>109129403614.7982</v>
      </c>
      <c r="DY9" s="10">
        <f t="shared" ca="1" si="205"/>
        <v>119864484145.71895</v>
      </c>
      <c r="DZ9" s="10">
        <f t="shared" ca="1" si="205"/>
        <v>131614446755.58548</v>
      </c>
      <c r="EA9" s="10">
        <f t="shared" ca="1" si="205"/>
        <v>144471584062.03802</v>
      </c>
      <c r="EB9" s="10">
        <f t="shared" ca="1" si="205"/>
        <v>158536269851.08151</v>
      </c>
      <c r="EC9" s="10">
        <f t="shared" ca="1" si="205"/>
        <v>173917641050.6441</v>
      </c>
      <c r="ED9" s="10">
        <f t="shared" ca="1" si="205"/>
        <v>190734335229.14209</v>
      </c>
      <c r="EE9" s="10">
        <f t="shared" ca="1" si="205"/>
        <v>209115287985.07269</v>
      </c>
      <c r="EF9" s="10">
        <f t="shared" ca="1" si="205"/>
        <v>229200594925.55551</v>
      </c>
      <c r="EG9" s="10">
        <f t="shared" ca="1" si="205"/>
        <v>251142443288.0657</v>
      </c>
      <c r="EH9" s="10">
        <f t="shared" ca="1" si="205"/>
        <v>275106118642.0835</v>
      </c>
      <c r="EI9" s="10">
        <f t="shared" ca="1" si="205"/>
        <v>301271092517.87952</v>
      </c>
      <c r="EJ9" s="10">
        <f t="shared" ca="1" si="205"/>
        <v>329832197250.15948</v>
      </c>
      <c r="EK9" s="10">
        <f t="shared" ca="1" si="205"/>
        <v>361000894796.94135</v>
      </c>
      <c r="EL9" s="10">
        <f t="shared" ca="1" si="205"/>
        <v>395006646801.0755</v>
      </c>
      <c r="EM9" s="10">
        <f t="shared" ca="1" si="205"/>
        <v>432098393705.70636</v>
      </c>
      <c r="EN9" s="10">
        <f t="shared" ca="1" si="205"/>
        <v>472546151318.27618</v>
      </c>
      <c r="EO9" s="10">
        <f t="shared" ca="1" si="205"/>
        <v>516642733843.19263</v>
      </c>
      <c r="EP9" s="10">
        <f t="shared" ca="1" si="205"/>
        <v>564705613073.94141</v>
      </c>
      <c r="EQ9" s="10">
        <f t="shared" ref="EQ9:EU9" ca="1" si="206">EP8*EQ3</f>
        <v>617078924154.42322</v>
      </c>
      <c r="ER9" s="10">
        <f t="shared" ca="1" si="206"/>
        <v>674135629089.98804</v>
      </c>
      <c r="ES9" s="10">
        <f t="shared" ca="1" si="206"/>
        <v>736279850014.63782</v>
      </c>
      <c r="ET9" s="10">
        <f t="shared" ca="1" si="206"/>
        <v>803949385106.02942</v>
      </c>
      <c r="EU9" s="10">
        <f t="shared" ca="1" si="206"/>
        <v>877618420988.32544</v>
      </c>
    </row>
    <row r="10" spans="1:151" ht="15">
      <c r="A10" s="14">
        <f t="shared" ref="A10:A11" si="207">A9+1</f>
        <v>2</v>
      </c>
      <c r="B10" s="23">
        <f t="shared" ca="1" si="202"/>
        <v>757.68095896320142</v>
      </c>
      <c r="C10" s="10">
        <f ca="1">B9*C4</f>
        <v>157.52624498295495</v>
      </c>
      <c r="D10" s="10">
        <f t="shared" ca="1" si="203"/>
        <v>134.3101540779009</v>
      </c>
      <c r="E10" s="10">
        <f t="shared" ca="1" si="203"/>
        <v>1127.9493515632726</v>
      </c>
      <c r="F10" s="10">
        <f t="shared" ca="1" si="203"/>
        <v>1376.2453379943761</v>
      </c>
      <c r="G10" s="10">
        <f t="shared" ca="1" si="203"/>
        <v>1766.4690401443609</v>
      </c>
      <c r="H10" s="10">
        <f t="shared" ca="1" si="203"/>
        <v>2659.6143250294449</v>
      </c>
      <c r="I10" s="10">
        <f t="shared" ca="1" si="203"/>
        <v>3837.086403583754</v>
      </c>
      <c r="J10" s="10">
        <f t="shared" ca="1" si="203"/>
        <v>5090.511745518862</v>
      </c>
      <c r="K10" s="10">
        <f t="shared" ca="1" si="203"/>
        <v>6836.2455762018972</v>
      </c>
      <c r="L10" s="10">
        <f t="shared" ca="1" si="203"/>
        <v>9136.6760203721678</v>
      </c>
      <c r="M10" s="10">
        <f t="shared" ca="1" si="203"/>
        <v>11989.366529445684</v>
      </c>
      <c r="N10" s="10">
        <f t="shared" ca="1" si="203"/>
        <v>15539.270628869097</v>
      </c>
      <c r="O10" s="10">
        <f t="shared" ca="1" si="203"/>
        <v>20029.601460894504</v>
      </c>
      <c r="P10" s="10">
        <f t="shared" ca="1" si="203"/>
        <v>25605.641685619936</v>
      </c>
      <c r="Q10" s="10">
        <f t="shared" ca="1" si="203"/>
        <v>32473.605194741525</v>
      </c>
      <c r="R10" s="10">
        <f t="shared" ca="1" si="203"/>
        <v>40922.053801907197</v>
      </c>
      <c r="S10" s="10">
        <f t="shared" ca="1" si="203"/>
        <v>51275.540723965707</v>
      </c>
      <c r="T10" s="10">
        <f t="shared" ca="1" si="203"/>
        <v>63886.621120009091</v>
      </c>
      <c r="U10" s="10">
        <f t="shared" ca="1" si="203"/>
        <v>79191.546065637493</v>
      </c>
      <c r="V10" s="10">
        <f t="shared" ca="1" si="203"/>
        <v>97705.524028318512</v>
      </c>
      <c r="W10" s="10">
        <f t="shared" ca="1" si="203"/>
        <v>120020.03577107968</v>
      </c>
      <c r="X10" s="10">
        <f t="shared" ca="1" si="203"/>
        <v>146822.73207406129</v>
      </c>
      <c r="Y10" s="10">
        <f t="shared" ca="1" si="203"/>
        <v>178920.64071027687</v>
      </c>
      <c r="Z10" s="10">
        <f t="shared" ca="1" si="203"/>
        <v>217248.70223159471</v>
      </c>
      <c r="AA10" s="10">
        <f t="shared" ca="1" si="203"/>
        <v>262887.8024129413</v>
      </c>
      <c r="AB10" s="10">
        <f t="shared" ca="1" si="203"/>
        <v>317089.76456655801</v>
      </c>
      <c r="AC10" s="10">
        <f t="shared" ca="1" si="203"/>
        <v>381301.72922934446</v>
      </c>
      <c r="AD10" s="10">
        <f t="shared" ca="1" si="203"/>
        <v>457191.23987931979</v>
      </c>
      <c r="AE10" s="10">
        <f t="shared" ca="1" si="203"/>
        <v>546678.11393949133</v>
      </c>
      <c r="AF10" s="10">
        <f t="shared" ca="1" si="203"/>
        <v>651970.23175690055</v>
      </c>
      <c r="AG10" s="10">
        <f t="shared" ca="1" si="203"/>
        <v>775602.44543176948</v>
      </c>
      <c r="AH10" s="10">
        <f t="shared" ca="1" si="203"/>
        <v>920480.66505682422</v>
      </c>
      <c r="AI10" s="10">
        <f t="shared" ca="1" si="203"/>
        <v>1089932.3378330355</v>
      </c>
      <c r="AJ10" s="10">
        <f t="shared" ca="1" si="203"/>
        <v>1287762.7379897279</v>
      </c>
      <c r="AK10" s="10">
        <f t="shared" ca="1" si="203"/>
        <v>1518317.9680614485</v>
      </c>
      <c r="AL10" s="10">
        <f t="shared" ca="1" si="203"/>
        <v>1786555.9563967867</v>
      </c>
      <c r="AM10" s="10">
        <f t="shared" ca="1" si="203"/>
        <v>2098126.1884228624</v>
      </c>
      <c r="AN10" s="10">
        <f t="shared" ca="1" si="203"/>
        <v>2459458.8846765058</v>
      </c>
      <c r="AO10" s="10">
        <f t="shared" ca="1" si="203"/>
        <v>2877864.8985363278</v>
      </c>
      <c r="AP10" s="10">
        <f t="shared" ca="1" si="203"/>
        <v>3361647.5992153771</v>
      </c>
      <c r="AQ10" s="10">
        <f t="shared" ca="1" si="203"/>
        <v>3920227.96570057</v>
      </c>
      <c r="AR10" s="10">
        <f t="shared" ca="1" si="203"/>
        <v>4564284.3385138102</v>
      </c>
      <c r="AS10" s="10">
        <f t="shared" ca="1" si="203"/>
        <v>5305908.5120171532</v>
      </c>
      <c r="AT10" s="10">
        <f t="shared" ca="1" si="203"/>
        <v>6158779.9383953959</v>
      </c>
      <c r="AU10" s="10">
        <f t="shared" ca="1" si="203"/>
        <v>7138359.9842135608</v>
      </c>
      <c r="AV10" s="10">
        <f t="shared" ca="1" si="203"/>
        <v>8262108.4216438355</v>
      </c>
      <c r="AW10" s="10">
        <f t="shared" ca="1" si="203"/>
        <v>9549724.5577669628</v>
      </c>
      <c r="AX10" s="10">
        <f t="shared" ca="1" si="203"/>
        <v>11023415.624012718</v>
      </c>
      <c r="AY10" s="10">
        <f t="shared" ca="1" si="203"/>
        <v>12708195.321388818</v>
      </c>
      <c r="AZ10" s="10">
        <f t="shared" ref="AZ10:CW10" ca="1" si="208">AY9*AZ4</f>
        <v>14632215.717030115</v>
      </c>
      <c r="BA10" s="10">
        <f t="shared" ca="1" si="208"/>
        <v>16827136.000136301</v>
      </c>
      <c r="BB10" s="10">
        <f t="shared" ca="1" si="208"/>
        <v>19328531.950274769</v>
      </c>
      <c r="BC10" s="10">
        <f t="shared" ca="1" si="208"/>
        <v>22176350.356956668</v>
      </c>
      <c r="BD10" s="10">
        <f t="shared" ca="1" si="208"/>
        <v>25415413.047046714</v>
      </c>
      <c r="BE10" s="10">
        <f t="shared" ca="1" si="208"/>
        <v>29095975.630389035</v>
      </c>
      <c r="BF10" s="10">
        <f t="shared" ca="1" si="208"/>
        <v>33274346.572892666</v>
      </c>
      <c r="BG10" s="10">
        <f t="shared" ca="1" si="208"/>
        <v>38013572.752301589</v>
      </c>
      <c r="BH10" s="10">
        <f t="shared" ca="1" si="208"/>
        <v>43384198.246335968</v>
      </c>
      <c r="BI10" s="10">
        <f t="shared" ca="1" si="208"/>
        <v>49465103.75208988</v>
      </c>
      <c r="BJ10" s="10">
        <f t="shared" ca="1" si="208"/>
        <v>56344434.74506858</v>
      </c>
      <c r="BK10" s="10">
        <f t="shared" ca="1" si="208"/>
        <v>64120627.260146476</v>
      </c>
      <c r="BL10" s="10">
        <f t="shared" ca="1" si="208"/>
        <v>72903541.020461023</v>
      </c>
      <c r="BM10" s="10">
        <f t="shared" ca="1" si="208"/>
        <v>82815710.560578957</v>
      </c>
      <c r="BN10" s="10">
        <f t="shared" ca="1" si="208"/>
        <v>93993725.993649215</v>
      </c>
      <c r="BO10" s="10">
        <f t="shared" ca="1" si="208"/>
        <v>106589756.16552155</v>
      </c>
      <c r="BP10" s="10">
        <f t="shared" ca="1" si="208"/>
        <v>120773228.12981161</v>
      </c>
      <c r="BQ10" s="10">
        <f t="shared" ca="1" si="208"/>
        <v>136732678.17511696</v>
      </c>
      <c r="BR10" s="10">
        <f t="shared" ca="1" si="208"/>
        <v>154677791.04794437</v>
      </c>
      <c r="BS10" s="10">
        <f t="shared" ca="1" si="208"/>
        <v>174841645.55215311</v>
      </c>
      <c r="BT10" s="10">
        <f t="shared" ca="1" si="208"/>
        <v>197483186.37845501</v>
      </c>
      <c r="BU10" s="10">
        <f t="shared" ca="1" si="208"/>
        <v>222889943.83718985</v>
      </c>
      <c r="BV10" s="10">
        <f t="shared" ca="1" si="208"/>
        <v>251381025.14648661</v>
      </c>
      <c r="BW10" s="10">
        <f t="shared" ca="1" si="208"/>
        <v>283310403.07941902</v>
      </c>
      <c r="BX10" s="10">
        <f t="shared" ca="1" si="208"/>
        <v>319070530.11222631</v>
      </c>
      <c r="BY10" s="10">
        <f t="shared" ca="1" si="208"/>
        <v>359096308.75672591</v>
      </c>
      <c r="BZ10" s="10">
        <f t="shared" ca="1" si="208"/>
        <v>403869451.52041209</v>
      </c>
      <c r="CA10" s="10">
        <f t="shared" ca="1" si="208"/>
        <v>453923266.93562704</v>
      </c>
      <c r="CB10" s="10">
        <f t="shared" ca="1" si="208"/>
        <v>509847911.35414469</v>
      </c>
      <c r="CC10" s="10">
        <f t="shared" ca="1" si="208"/>
        <v>572296149.73666072</v>
      </c>
      <c r="CD10" s="10">
        <f t="shared" ca="1" si="208"/>
        <v>641989672.50085628</v>
      </c>
      <c r="CE10" s="10">
        <f t="shared" ca="1" si="208"/>
        <v>719726019.65145159</v>
      </c>
      <c r="CF10" s="10">
        <f t="shared" ca="1" si="208"/>
        <v>806386167.92753196</v>
      </c>
      <c r="CG10" s="10">
        <f t="shared" ca="1" si="208"/>
        <v>902942841.59503233</v>
      </c>
      <c r="CH10" s="10">
        <f t="shared" ca="1" si="208"/>
        <v>1010469612.8163772</v>
      </c>
      <c r="CI10" s="10">
        <f t="shared" ca="1" si="208"/>
        <v>1130150863.2782009</v>
      </c>
      <c r="CJ10" s="10">
        <f t="shared" ca="1" si="208"/>
        <v>1263292684.9875557</v>
      </c>
      <c r="CK10" s="10">
        <f t="shared" ca="1" si="208"/>
        <v>1411334804.8957012</v>
      </c>
      <c r="CL10" s="10">
        <f t="shared" ca="1" si="208"/>
        <v>1575863625.3179634</v>
      </c>
      <c r="CM10" s="10">
        <f t="shared" ca="1" si="208"/>
        <v>1758626480.0330882</v>
      </c>
      <c r="CN10" s="10">
        <f t="shared" ca="1" si="208"/>
        <v>1961547214.5141468</v>
      </c>
      <c r="CO10" s="10">
        <f t="shared" ca="1" si="208"/>
        <v>2186743208.0172648</v>
      </c>
      <c r="CP10" s="10">
        <f t="shared" ca="1" si="208"/>
        <v>2436543965.2902708</v>
      </c>
      <c r="CQ10" s="10">
        <f t="shared" ca="1" si="208"/>
        <v>2713511416.5206184</v>
      </c>
      <c r="CR10" s="10">
        <f t="shared" ca="1" si="208"/>
        <v>3020462075.8856668</v>
      </c>
      <c r="CS10" s="10">
        <f t="shared" ca="1" si="208"/>
        <v>3360491221.7680435</v>
      </c>
      <c r="CT10" s="10">
        <f t="shared" ca="1" si="208"/>
        <v>3736999275.4291916</v>
      </c>
      <c r="CU10" s="10">
        <f t="shared" ca="1" si="208"/>
        <v>4153720569.7759881</v>
      </c>
      <c r="CV10" s="10">
        <f t="shared" ca="1" si="208"/>
        <v>4614754715.8951302</v>
      </c>
      <c r="CW10" s="10">
        <f t="shared" ca="1" si="208"/>
        <v>5124600792.3606548</v>
      </c>
      <c r="CX10" s="10">
        <f t="shared" ref="CX10:EP10" ca="1" si="209">CW9*CX4</f>
        <v>5688194601.042038</v>
      </c>
      <c r="CY10" s="10">
        <f t="shared" ca="1" si="209"/>
        <v>6310949253.3607826</v>
      </c>
      <c r="CZ10" s="10">
        <f t="shared" ca="1" si="209"/>
        <v>6998799372.7786102</v>
      </c>
      <c r="DA10" s="10">
        <f t="shared" ca="1" si="209"/>
        <v>7758249222.8735046</v>
      </c>
      <c r="DB10" s="10">
        <f t="shared" ca="1" si="209"/>
        <v>8596425095.8054867</v>
      </c>
      <c r="DC10" s="10">
        <f t="shared" ca="1" si="209"/>
        <v>9521132323.434433</v>
      </c>
      <c r="DD10" s="10">
        <f t="shared" ca="1" si="209"/>
        <v>10540917302.981884</v>
      </c>
      <c r="DE10" s="10">
        <f t="shared" ca="1" si="209"/>
        <v>11665134961.092894</v>
      </c>
      <c r="DF10" s="10">
        <f t="shared" ca="1" si="209"/>
        <v>12904022114.629402</v>
      </c>
      <c r="DG10" s="10">
        <f t="shared" ca="1" si="209"/>
        <v>14268777223.704918</v>
      </c>
      <c r="DH10" s="10">
        <f t="shared" ca="1" si="209"/>
        <v>15771647072.553761</v>
      </c>
      <c r="DI10" s="10">
        <f t="shared" ca="1" si="209"/>
        <v>17426020957.039021</v>
      </c>
      <c r="DJ10" s="10">
        <f t="shared" ca="1" si="209"/>
        <v>19246533004.173733</v>
      </c>
      <c r="DK10" s="10">
        <f t="shared" ca="1" si="209"/>
        <v>21249173299.214314</v>
      </c>
      <c r="DL10" s="10">
        <f t="shared" ca="1" si="209"/>
        <v>23451408549.953979</v>
      </c>
      <c r="DM10" s="10">
        <f t="shared" ca="1" si="209"/>
        <v>25872313076.086384</v>
      </c>
      <c r="DN10" s="10">
        <f t="shared" ca="1" si="209"/>
        <v>28532710974.238449</v>
      </c>
      <c r="DO10" s="10">
        <f t="shared" ca="1" si="209"/>
        <v>31455330376.819046</v>
      </c>
      <c r="DP10" s="10">
        <f t="shared" ca="1" si="209"/>
        <v>34664970795.555138</v>
      </c>
      <c r="DQ10" s="10">
        <f t="shared" ca="1" si="209"/>
        <v>38188684618.873001</v>
      </c>
      <c r="DR10" s="10">
        <f t="shared" ca="1" si="209"/>
        <v>42055973916.538094</v>
      </c>
      <c r="DS10" s="10">
        <f t="shared" ca="1" si="209"/>
        <v>46299003795.637238</v>
      </c>
      <c r="DT10" s="10">
        <f t="shared" ca="1" si="209"/>
        <v>50952833649.53743</v>
      </c>
      <c r="DU10" s="10">
        <f t="shared" ca="1" si="209"/>
        <v>56055667746.397705</v>
      </c>
      <c r="DV10" s="10">
        <f t="shared" ca="1" si="209"/>
        <v>61649126716.68029</v>
      </c>
      <c r="DW10" s="10">
        <f t="shared" ca="1" si="209"/>
        <v>67778541620.487885</v>
      </c>
      <c r="DX10" s="10">
        <f t="shared" ca="1" si="209"/>
        <v>74493272406.064102</v>
      </c>
      <c r="DY10" s="10">
        <f t="shared" ca="1" si="209"/>
        <v>81847052711.098648</v>
      </c>
      <c r="DZ10" s="10">
        <f t="shared" ca="1" si="209"/>
        <v>89898363109.289215</v>
      </c>
      <c r="EA10" s="10">
        <f t="shared" ca="1" si="209"/>
        <v>98710835066.689117</v>
      </c>
      <c r="EB10" s="10">
        <f t="shared" ca="1" si="209"/>
        <v>108353688046.52852</v>
      </c>
      <c r="EC10" s="10">
        <f t="shared" ca="1" si="209"/>
        <v>118902202388.31113</v>
      </c>
      <c r="ED10" s="10">
        <f t="shared" ca="1" si="209"/>
        <v>130438230787.98308</v>
      </c>
      <c r="EE10" s="10">
        <f t="shared" ca="1" si="209"/>
        <v>143050751421.85657</v>
      </c>
      <c r="EF10" s="10">
        <f t="shared" ca="1" si="209"/>
        <v>156836465988.8045</v>
      </c>
      <c r="EG10" s="10">
        <f t="shared" ca="1" si="209"/>
        <v>171900446194.16663</v>
      </c>
      <c r="EH10" s="10">
        <f t="shared" ca="1" si="209"/>
        <v>188356832466.04929</v>
      </c>
      <c r="EI10" s="10">
        <f t="shared" ca="1" si="209"/>
        <v>206329588981.56262</v>
      </c>
      <c r="EJ10" s="10">
        <f t="shared" ca="1" si="209"/>
        <v>225953319388.40964</v>
      </c>
      <c r="EK10" s="10">
        <f t="shared" ca="1" si="209"/>
        <v>247374147937.61963</v>
      </c>
      <c r="EL10" s="10">
        <f t="shared" ca="1" si="209"/>
        <v>270750671097.70599</v>
      </c>
      <c r="EM10" s="10">
        <f t="shared" ca="1" si="209"/>
        <v>296254985100.80664</v>
      </c>
      <c r="EN10" s="10">
        <f t="shared" ca="1" si="209"/>
        <v>324073795279.27979</v>
      </c>
      <c r="EO10" s="10">
        <f t="shared" ca="1" si="209"/>
        <v>354409613488.70715</v>
      </c>
      <c r="EP10" s="10">
        <f t="shared" ca="1" si="209"/>
        <v>387482050382.39447</v>
      </c>
      <c r="EQ10" s="10">
        <f t="shared" ref="EQ10:EU10" ca="1" si="210">EP9*EQ4</f>
        <v>423529209805.45605</v>
      </c>
      <c r="ER10" s="10">
        <f t="shared" ca="1" si="210"/>
        <v>462809193115.81738</v>
      </c>
      <c r="ES10" s="10">
        <f t="shared" ca="1" si="210"/>
        <v>505601721817.49103</v>
      </c>
      <c r="ET10" s="10">
        <f t="shared" ca="1" si="210"/>
        <v>552209887510.97839</v>
      </c>
      <c r="EU10" s="10">
        <f t="shared" ca="1" si="210"/>
        <v>602962038829.52209</v>
      </c>
    </row>
    <row r="11" spans="1:151" ht="15">
      <c r="A11" s="14">
        <f t="shared" si="207"/>
        <v>3</v>
      </c>
      <c r="B11" s="23">
        <f t="shared" ca="1" si="202"/>
        <v>182.38707205129467</v>
      </c>
      <c r="C11" s="10">
        <f ca="1">B10*C5</f>
        <v>378.84047948160071</v>
      </c>
      <c r="D11" s="10">
        <f t="shared" ca="1" si="203"/>
        <v>78.763122491477475</v>
      </c>
      <c r="E11" s="10">
        <f t="shared" ca="1" si="203"/>
        <v>67.155077038950452</v>
      </c>
      <c r="F11" s="10">
        <f t="shared" ca="1" si="203"/>
        <v>563.97467578163628</v>
      </c>
      <c r="G11" s="10">
        <f t="shared" ca="1" si="203"/>
        <v>688.12266899718804</v>
      </c>
      <c r="H11" s="10">
        <f t="shared" ca="1" si="203"/>
        <v>883.23452007218043</v>
      </c>
      <c r="I11" s="10">
        <f t="shared" ca="1" si="203"/>
        <v>1329.8071625147224</v>
      </c>
      <c r="J11" s="10">
        <f t="shared" ca="1" si="203"/>
        <v>1918.543201791877</v>
      </c>
      <c r="K11" s="10">
        <f t="shared" ca="1" si="203"/>
        <v>2545.255872759431</v>
      </c>
      <c r="L11" s="10">
        <f t="shared" ca="1" si="203"/>
        <v>3418.1227881009486</v>
      </c>
      <c r="M11" s="10">
        <f t="shared" ca="1" si="203"/>
        <v>4568.3380101860839</v>
      </c>
      <c r="N11" s="10">
        <f t="shared" ca="1" si="203"/>
        <v>5994.6832647228421</v>
      </c>
      <c r="O11" s="10">
        <f t="shared" ca="1" si="203"/>
        <v>7769.6353144345485</v>
      </c>
      <c r="P11" s="10">
        <f t="shared" ca="1" si="203"/>
        <v>10014.800730447252</v>
      </c>
      <c r="Q11" s="10">
        <f t="shared" ca="1" si="203"/>
        <v>12802.820842809968</v>
      </c>
      <c r="R11" s="10">
        <f t="shared" ca="1" si="203"/>
        <v>16236.802597370763</v>
      </c>
      <c r="S11" s="10">
        <f t="shared" ca="1" si="203"/>
        <v>20461.026900953599</v>
      </c>
      <c r="T11" s="10">
        <f t="shared" ca="1" si="203"/>
        <v>25637.770361982854</v>
      </c>
      <c r="U11" s="10">
        <f t="shared" ca="1" si="203"/>
        <v>31943.310560004546</v>
      </c>
      <c r="V11" s="10">
        <f t="shared" ca="1" si="203"/>
        <v>39595.773032818746</v>
      </c>
      <c r="W11" s="10">
        <f t="shared" ca="1" si="203"/>
        <v>48852.762014159256</v>
      </c>
      <c r="X11" s="10">
        <f t="shared" ca="1" si="203"/>
        <v>60010.017885539841</v>
      </c>
      <c r="Y11" s="10">
        <f t="shared" ca="1" si="203"/>
        <v>73411.366037030646</v>
      </c>
      <c r="Z11" s="10">
        <f t="shared" ca="1" si="203"/>
        <v>89460.320355138436</v>
      </c>
      <c r="AA11" s="10">
        <f t="shared" ca="1" si="203"/>
        <v>108624.35111579736</v>
      </c>
      <c r="AB11" s="10">
        <f t="shared" ca="1" si="203"/>
        <v>131443.90120647065</v>
      </c>
      <c r="AC11" s="10">
        <f t="shared" ca="1" si="203"/>
        <v>158544.882283279</v>
      </c>
      <c r="AD11" s="10">
        <f t="shared" ca="1" si="203"/>
        <v>190650.86461467223</v>
      </c>
      <c r="AE11" s="10">
        <f t="shared" ca="1" si="203"/>
        <v>228595.6199396599</v>
      </c>
      <c r="AF11" s="10">
        <f t="shared" ca="1" si="203"/>
        <v>273339.05696974567</v>
      </c>
      <c r="AG11" s="10">
        <f t="shared" ca="1" si="203"/>
        <v>325985.11587845028</v>
      </c>
      <c r="AH11" s="10">
        <f t="shared" ca="1" si="203"/>
        <v>387801.22271588474</v>
      </c>
      <c r="AI11" s="10">
        <f t="shared" ca="1" si="203"/>
        <v>460240.33252841211</v>
      </c>
      <c r="AJ11" s="10">
        <f t="shared" ca="1" si="203"/>
        <v>544966.16891651775</v>
      </c>
      <c r="AK11" s="10">
        <f t="shared" ca="1" si="203"/>
        <v>643881.36899486394</v>
      </c>
      <c r="AL11" s="10">
        <f t="shared" ca="1" si="203"/>
        <v>759158.98403072427</v>
      </c>
      <c r="AM11" s="10">
        <f t="shared" ca="1" si="203"/>
        <v>893277.97819839336</v>
      </c>
      <c r="AN11" s="10">
        <f t="shared" ca="1" si="203"/>
        <v>1049063.0942114312</v>
      </c>
      <c r="AO11" s="10">
        <f t="shared" ca="1" si="203"/>
        <v>1229729.4423382529</v>
      </c>
      <c r="AP11" s="10">
        <f t="shared" ca="1" si="203"/>
        <v>1438932.4492681639</v>
      </c>
      <c r="AQ11" s="10">
        <f t="shared" ca="1" si="203"/>
        <v>1680823.7996076886</v>
      </c>
      <c r="AR11" s="10">
        <f t="shared" ca="1" si="203"/>
        <v>1960113.982850285</v>
      </c>
      <c r="AS11" s="10">
        <f t="shared" ca="1" si="203"/>
        <v>2282142.1692569051</v>
      </c>
      <c r="AT11" s="10">
        <f t="shared" ca="1" si="203"/>
        <v>2652954.2560085766</v>
      </c>
      <c r="AU11" s="10">
        <f t="shared" ca="1" si="203"/>
        <v>3079389.9691976979</v>
      </c>
      <c r="AV11" s="10">
        <f t="shared" ca="1" si="203"/>
        <v>3569179.9921067804</v>
      </c>
      <c r="AW11" s="10">
        <f t="shared" ca="1" si="203"/>
        <v>4131054.2108219177</v>
      </c>
      <c r="AX11" s="10">
        <f t="shared" ca="1" si="203"/>
        <v>4774862.2788834814</v>
      </c>
      <c r="AY11" s="10">
        <f t="shared" ca="1" si="203"/>
        <v>5511707.812006359</v>
      </c>
      <c r="AZ11" s="10">
        <f t="shared" ref="AZ11:CW11" ca="1" si="211">AY10*AZ5</f>
        <v>6354097.6606944092</v>
      </c>
      <c r="BA11" s="10">
        <f t="shared" ca="1" si="211"/>
        <v>7316107.8585150577</v>
      </c>
      <c r="BB11" s="10">
        <f t="shared" ca="1" si="211"/>
        <v>8413568.0000681505</v>
      </c>
      <c r="BC11" s="10">
        <f t="shared" ca="1" si="211"/>
        <v>9664265.9751373846</v>
      </c>
      <c r="BD11" s="10">
        <f t="shared" ca="1" si="211"/>
        <v>11088175.178478334</v>
      </c>
      <c r="BE11" s="10">
        <f t="shared" ca="1" si="211"/>
        <v>12707706.523523357</v>
      </c>
      <c r="BF11" s="10">
        <f t="shared" ca="1" si="211"/>
        <v>14547987.815194517</v>
      </c>
      <c r="BG11" s="10">
        <f t="shared" ca="1" si="211"/>
        <v>16637173.286446333</v>
      </c>
      <c r="BH11" s="10">
        <f t="shared" ca="1" si="211"/>
        <v>19006786.376150794</v>
      </c>
      <c r="BI11" s="10">
        <f t="shared" ca="1" si="211"/>
        <v>21692099.123167984</v>
      </c>
      <c r="BJ11" s="10">
        <f t="shared" ca="1" si="211"/>
        <v>24732551.87604494</v>
      </c>
      <c r="BK11" s="10">
        <f t="shared" ca="1" si="211"/>
        <v>28172217.37253429</v>
      </c>
      <c r="BL11" s="10">
        <f t="shared" ca="1" si="211"/>
        <v>32060313.630073238</v>
      </c>
      <c r="BM11" s="10">
        <f t="shared" ca="1" si="211"/>
        <v>36451770.510230511</v>
      </c>
      <c r="BN11" s="10">
        <f t="shared" ca="1" si="211"/>
        <v>41407855.280289479</v>
      </c>
      <c r="BO11" s="10">
        <f t="shared" ca="1" si="211"/>
        <v>46996862.996824607</v>
      </c>
      <c r="BP11" s="10">
        <f t="shared" ca="1" si="211"/>
        <v>53294878.082760774</v>
      </c>
      <c r="BQ11" s="10">
        <f t="shared" ca="1" si="211"/>
        <v>60386614.064905807</v>
      </c>
      <c r="BR11" s="10">
        <f t="shared" ca="1" si="211"/>
        <v>68366339.087558478</v>
      </c>
      <c r="BS11" s="10">
        <f t="shared" ca="1" si="211"/>
        <v>77338895.523972183</v>
      </c>
      <c r="BT11" s="10">
        <f t="shared" ca="1" si="211"/>
        <v>87420822.776076555</v>
      </c>
      <c r="BU11" s="10">
        <f t="shared" ca="1" si="211"/>
        <v>98741593.189227507</v>
      </c>
      <c r="BV11" s="10">
        <f t="shared" ca="1" si="211"/>
        <v>111444971.91859493</v>
      </c>
      <c r="BW11" s="10">
        <f t="shared" ca="1" si="211"/>
        <v>125690512.57324331</v>
      </c>
      <c r="BX11" s="10">
        <f t="shared" ca="1" si="211"/>
        <v>141655201.53970951</v>
      </c>
      <c r="BY11" s="10">
        <f t="shared" ca="1" si="211"/>
        <v>159535265.05611315</v>
      </c>
      <c r="BZ11" s="10">
        <f t="shared" ca="1" si="211"/>
        <v>179548154.37836295</v>
      </c>
      <c r="CA11" s="10">
        <f t="shared" ca="1" si="211"/>
        <v>201934725.76020604</v>
      </c>
      <c r="CB11" s="10">
        <f t="shared" ca="1" si="211"/>
        <v>226961633.46781352</v>
      </c>
      <c r="CC11" s="10">
        <f t="shared" ca="1" si="211"/>
        <v>254923955.67707235</v>
      </c>
      <c r="CD11" s="10">
        <f t="shared" ca="1" si="211"/>
        <v>286148074.86833036</v>
      </c>
      <c r="CE11" s="10">
        <f t="shared" ca="1" si="211"/>
        <v>320994836.25042814</v>
      </c>
      <c r="CF11" s="10">
        <f t="shared" ca="1" si="211"/>
        <v>359863009.82572579</v>
      </c>
      <c r="CG11" s="10">
        <f t="shared" ca="1" si="211"/>
        <v>403193083.96376598</v>
      </c>
      <c r="CH11" s="10">
        <f t="shared" ca="1" si="211"/>
        <v>451471420.79751617</v>
      </c>
      <c r="CI11" s="10">
        <f t="shared" ca="1" si="211"/>
        <v>505234806.40818858</v>
      </c>
      <c r="CJ11" s="10">
        <f t="shared" ca="1" si="211"/>
        <v>565075431.63910043</v>
      </c>
      <c r="CK11" s="10">
        <f t="shared" ca="1" si="211"/>
        <v>631646342.49377787</v>
      </c>
      <c r="CL11" s="10">
        <f t="shared" ca="1" si="211"/>
        <v>705667402.44785058</v>
      </c>
      <c r="CM11" s="10">
        <f t="shared" ca="1" si="211"/>
        <v>787931812.65898168</v>
      </c>
      <c r="CN11" s="10">
        <f t="shared" ca="1" si="211"/>
        <v>879313240.0165441</v>
      </c>
      <c r="CO11" s="10">
        <f t="shared" ca="1" si="211"/>
        <v>980773607.2570734</v>
      </c>
      <c r="CP11" s="10">
        <f t="shared" ca="1" si="211"/>
        <v>1093371604.0086324</v>
      </c>
      <c r="CQ11" s="10">
        <f t="shared" ca="1" si="211"/>
        <v>1218271982.6451354</v>
      </c>
      <c r="CR11" s="10">
        <f t="shared" ca="1" si="211"/>
        <v>1356755708.2603092</v>
      </c>
      <c r="CS11" s="10">
        <f t="shared" ca="1" si="211"/>
        <v>1510231037.9428334</v>
      </c>
      <c r="CT11" s="10">
        <f t="shared" ca="1" si="211"/>
        <v>1680245610.8840218</v>
      </c>
      <c r="CU11" s="10">
        <f t="shared" ca="1" si="211"/>
        <v>1868499637.7145958</v>
      </c>
      <c r="CV11" s="10">
        <f t="shared" ca="1" si="211"/>
        <v>2076860284.8879941</v>
      </c>
      <c r="CW11" s="10">
        <f t="shared" ca="1" si="211"/>
        <v>2307377357.9475651</v>
      </c>
      <c r="CX11" s="10">
        <f t="shared" ref="CX11:EP11" ca="1" si="212">CW10*CX5</f>
        <v>2562300396.1803274</v>
      </c>
      <c r="CY11" s="10">
        <f t="shared" ca="1" si="212"/>
        <v>2844097300.521019</v>
      </c>
      <c r="CZ11" s="10">
        <f t="shared" ca="1" si="212"/>
        <v>3155474626.6803913</v>
      </c>
      <c r="DA11" s="10">
        <f t="shared" ca="1" si="212"/>
        <v>3499399686.3893051</v>
      </c>
      <c r="DB11" s="10">
        <f t="shared" ca="1" si="212"/>
        <v>3879124611.4367523</v>
      </c>
      <c r="DC11" s="10">
        <f t="shared" ca="1" si="212"/>
        <v>4298212547.9027433</v>
      </c>
      <c r="DD11" s="10">
        <f t="shared" ca="1" si="212"/>
        <v>4760566161.7172165</v>
      </c>
      <c r="DE11" s="10">
        <f t="shared" ca="1" si="212"/>
        <v>5270458651.490942</v>
      </c>
      <c r="DF11" s="10">
        <f t="shared" ca="1" si="212"/>
        <v>5832567480.5464468</v>
      </c>
      <c r="DG11" s="10">
        <f t="shared" ca="1" si="212"/>
        <v>6452011057.3147011</v>
      </c>
      <c r="DH11" s="10">
        <f t="shared" ca="1" si="212"/>
        <v>7134388611.852459</v>
      </c>
      <c r="DI11" s="10">
        <f t="shared" ca="1" si="212"/>
        <v>7885823536.2768803</v>
      </c>
      <c r="DJ11" s="10">
        <f t="shared" ca="1" si="212"/>
        <v>8713010478.5195103</v>
      </c>
      <c r="DK11" s="10">
        <f t="shared" ca="1" si="212"/>
        <v>9623266502.0868664</v>
      </c>
      <c r="DL11" s="10">
        <f t="shared" ca="1" si="212"/>
        <v>10624586649.607157</v>
      </c>
      <c r="DM11" s="10">
        <f t="shared" ca="1" si="212"/>
        <v>11725704274.97699</v>
      </c>
      <c r="DN11" s="10">
        <f t="shared" ca="1" si="212"/>
        <v>12936156538.043192</v>
      </c>
      <c r="DO11" s="10">
        <f t="shared" ca="1" si="212"/>
        <v>14266355487.119225</v>
      </c>
      <c r="DP11" s="10">
        <f t="shared" ca="1" si="212"/>
        <v>15727665188.409523</v>
      </c>
      <c r="DQ11" s="10">
        <f t="shared" ca="1" si="212"/>
        <v>17332485397.777569</v>
      </c>
      <c r="DR11" s="10">
        <f t="shared" ca="1" si="212"/>
        <v>19094342309.436501</v>
      </c>
      <c r="DS11" s="10">
        <f t="shared" ca="1" si="212"/>
        <v>21027986958.269047</v>
      </c>
      <c r="DT11" s="10">
        <f t="shared" ca="1" si="212"/>
        <v>23149501897.818619</v>
      </c>
      <c r="DU11" s="10">
        <f t="shared" ca="1" si="212"/>
        <v>25476416824.768715</v>
      </c>
      <c r="DV11" s="10">
        <f t="shared" ca="1" si="212"/>
        <v>28027833873.198853</v>
      </c>
      <c r="DW11" s="10">
        <f t="shared" ca="1" si="212"/>
        <v>30824563358.340145</v>
      </c>
      <c r="DX11" s="10">
        <f t="shared" ca="1" si="212"/>
        <v>33889270810.243942</v>
      </c>
      <c r="DY11" s="10">
        <f t="shared" ca="1" si="212"/>
        <v>37246636203.032051</v>
      </c>
      <c r="DZ11" s="10">
        <f t="shared" ca="1" si="212"/>
        <v>40923526355.549324</v>
      </c>
      <c r="EA11" s="10">
        <f t="shared" ca="1" si="212"/>
        <v>44949181554.644608</v>
      </c>
      <c r="EB11" s="10">
        <f t="shared" ca="1" si="212"/>
        <v>49355417533.344559</v>
      </c>
      <c r="EC11" s="10">
        <f t="shared" ca="1" si="212"/>
        <v>54176844023.264259</v>
      </c>
      <c r="ED11" s="10">
        <f t="shared" ca="1" si="212"/>
        <v>59451101194.155563</v>
      </c>
      <c r="EE11" s="10">
        <f t="shared" ca="1" si="212"/>
        <v>65219115393.991539</v>
      </c>
      <c r="EF11" s="10">
        <f t="shared" ca="1" si="212"/>
        <v>71525375710.928284</v>
      </c>
      <c r="EG11" s="10">
        <f t="shared" ca="1" si="212"/>
        <v>78418232994.402252</v>
      </c>
      <c r="EH11" s="10">
        <f t="shared" ca="1" si="212"/>
        <v>85950223097.083313</v>
      </c>
      <c r="EI11" s="10">
        <f t="shared" ca="1" si="212"/>
        <v>94178416233.024643</v>
      </c>
      <c r="EJ11" s="10">
        <f t="shared" ca="1" si="212"/>
        <v>103164794490.78131</v>
      </c>
      <c r="EK11" s="10">
        <f t="shared" ca="1" si="212"/>
        <v>112976659694.20482</v>
      </c>
      <c r="EL11" s="10">
        <f t="shared" ca="1" si="212"/>
        <v>123687073968.80981</v>
      </c>
      <c r="EM11" s="10">
        <f t="shared" ca="1" si="212"/>
        <v>135375335548.853</v>
      </c>
      <c r="EN11" s="10">
        <f t="shared" ca="1" si="212"/>
        <v>148127492550.40332</v>
      </c>
      <c r="EO11" s="10">
        <f t="shared" ca="1" si="212"/>
        <v>162036897639.63989</v>
      </c>
      <c r="EP11" s="10">
        <f t="shared" ca="1" si="212"/>
        <v>177204806744.35358</v>
      </c>
      <c r="EQ11" s="10">
        <f t="shared" ref="EQ11:EU11" ca="1" si="213">EP10*EQ5</f>
        <v>193741025191.19724</v>
      </c>
      <c r="ER11" s="10">
        <f t="shared" ca="1" si="213"/>
        <v>211764604902.72803</v>
      </c>
      <c r="ES11" s="10">
        <f t="shared" ca="1" si="213"/>
        <v>231404596557.90869</v>
      </c>
      <c r="ET11" s="10">
        <f t="shared" ca="1" si="213"/>
        <v>252800860908.74551</v>
      </c>
      <c r="EU11" s="10">
        <f t="shared" ca="1" si="213"/>
        <v>276104943755.4892</v>
      </c>
    </row>
    <row r="12" spans="1:151" ht="15">
      <c r="A12" s="8" t="s">
        <v>2</v>
      </c>
      <c r="B12" s="11">
        <f t="shared" ref="B12:AG12" ca="1" si="214">SUM(B8:B11)</f>
        <v>1338.6085037326829</v>
      </c>
      <c r="C12" s="11">
        <f t="shared" ca="1" si="214"/>
        <v>2298.5337391133676</v>
      </c>
      <c r="D12" s="11">
        <f t="shared" ca="1" si="214"/>
        <v>3648.5781495230412</v>
      </c>
      <c r="E12" s="11">
        <f t="shared" ca="1" si="214"/>
        <v>5509.3530057797934</v>
      </c>
      <c r="F12" s="11">
        <f t="shared" ca="1" si="214"/>
        <v>8028.3041024308732</v>
      </c>
      <c r="G12" s="11">
        <f t="shared" ca="1" si="214"/>
        <v>11386.128568596605</v>
      </c>
      <c r="H12" s="11">
        <f t="shared" ca="1" si="214"/>
        <v>15803.541938327491</v>
      </c>
      <c r="I12" s="11">
        <f t="shared" ca="1" si="214"/>
        <v>21548.973193389447</v>
      </c>
      <c r="J12" s="11">
        <f t="shared" ca="1" si="214"/>
        <v>28947.453989786489</v>
      </c>
      <c r="K12" s="11">
        <f t="shared" ca="1" si="214"/>
        <v>38390.917236749738</v>
      </c>
      <c r="L12" s="11">
        <f t="shared" ca="1" si="214"/>
        <v>50350.123484743286</v>
      </c>
      <c r="M12" s="11">
        <f t="shared" ca="1" si="214"/>
        <v>65388.453393414427</v>
      </c>
      <c r="N12" s="11">
        <f t="shared" ca="1" si="214"/>
        <v>84177.831891444177</v>
      </c>
      <c r="O12" s="11">
        <f t="shared" ca="1" si="214"/>
        <v>107517.0821031613</v>
      </c>
      <c r="P12" s="11">
        <f t="shared" ca="1" si="214"/>
        <v>136353.04415208354</v>
      </c>
      <c r="Q12" s="11">
        <f t="shared" ca="1" si="214"/>
        <v>171804.83563162526</v>
      </c>
      <c r="R12" s="11">
        <f t="shared" ca="1" si="214"/>
        <v>215191.67718212219</v>
      </c>
      <c r="S12" s="11">
        <f t="shared" ca="1" si="214"/>
        <v>268064.75868407177</v>
      </c>
      <c r="T12" s="11">
        <f t="shared" ca="1" si="214"/>
        <v>332243.67960925394</v>
      </c>
      <c r="U12" s="11">
        <f t="shared" ca="1" si="214"/>
        <v>409858.06167544174</v>
      </c>
      <c r="V12" s="11">
        <f t="shared" ca="1" si="214"/>
        <v>503395.00380722428</v>
      </c>
      <c r="W12" s="11">
        <f t="shared" ca="1" si="214"/>
        <v>615753.12926683202</v>
      </c>
      <c r="X12" s="11">
        <f t="shared" ca="1" si="214"/>
        <v>750304.06351238396</v>
      </c>
      <c r="Y12" s="11">
        <f t="shared" ca="1" si="214"/>
        <v>910962.27977601811</v>
      </c>
      <c r="Z12" s="11">
        <f t="shared" ca="1" si="214"/>
        <v>1102264.3585289819</v>
      </c>
      <c r="AA12" s="11">
        <f t="shared" ca="1" si="214"/>
        <v>1329458.8280095451</v>
      </c>
      <c r="AB12" s="11">
        <f t="shared" ca="1" si="214"/>
        <v>1598607.8870322523</v>
      </c>
      <c r="AC12" s="11">
        <f t="shared" ca="1" si="214"/>
        <v>1916702.4596878446</v>
      </c>
      <c r="AD12" s="11">
        <f t="shared" ca="1" si="214"/>
        <v>2291792.1957212444</v>
      </c>
      <c r="AE12" s="11">
        <f t="shared" ca="1" si="214"/>
        <v>2733132.2119153971</v>
      </c>
      <c r="AF12" s="11">
        <f t="shared" ca="1" si="214"/>
        <v>3251348.5704347235</v>
      </c>
      <c r="AG12" s="11">
        <f t="shared" ca="1" si="214"/>
        <v>3858624.7116779648</v>
      </c>
      <c r="AH12" s="11">
        <f t="shared" ref="AH12:AY12" ca="1" si="215">SUM(AH8:AH11)</f>
        <v>4568911.3038163744</v>
      </c>
      <c r="AI12" s="11">
        <f t="shared" ca="1" si="215"/>
        <v>5398162.2411006615</v>
      </c>
      <c r="AJ12" s="11">
        <f t="shared" ca="1" si="215"/>
        <v>6364599.8206678778</v>
      </c>
      <c r="AK12" s="11">
        <f t="shared" ca="1" si="215"/>
        <v>7489012.4556525368</v>
      </c>
      <c r="AL12" s="11">
        <f t="shared" ca="1" si="215"/>
        <v>8795088.6438355446</v>
      </c>
      <c r="AM12" s="11">
        <f t="shared" ca="1" si="215"/>
        <v>10309791.309047934</v>
      </c>
      <c r="AN12" s="11">
        <f t="shared" ca="1" si="215"/>
        <v>12063777.070571991</v>
      </c>
      <c r="AO12" s="11">
        <f t="shared" ca="1" si="215"/>
        <v>14091865.477653777</v>
      </c>
      <c r="AP12" s="11">
        <f t="shared" ca="1" si="215"/>
        <v>16433563.776103685</v>
      </c>
      <c r="AQ12" s="11">
        <f t="shared" ca="1" si="215"/>
        <v>19133653.356333204</v>
      </c>
      <c r="AR12" s="11">
        <f t="shared" ca="1" si="215"/>
        <v>22242844.671976995</v>
      </c>
      <c r="AS12" s="11">
        <f t="shared" ca="1" si="215"/>
        <v>25818508.12083783</v>
      </c>
      <c r="AT12" s="11">
        <f t="shared" ca="1" si="215"/>
        <v>29925489.151101124</v>
      </c>
      <c r="AU12" s="11">
        <f t="shared" ca="1" si="215"/>
        <v>34637016.701942638</v>
      </c>
      <c r="AV12" s="11">
        <f t="shared" ca="1" si="215"/>
        <v>40035715.015703365</v>
      </c>
      <c r="AW12" s="11">
        <f t="shared" ca="1" si="215"/>
        <v>46214729.87623927</v>
      </c>
      <c r="AX12" s="11">
        <f t="shared" ca="1" si="215"/>
        <v>53278981.443035841</v>
      </c>
      <c r="AY12" s="11">
        <f t="shared" ca="1" si="215"/>
        <v>61346557.072082773</v>
      </c>
      <c r="AZ12" s="11">
        <f t="shared" ref="AZ12:CW12" ca="1" si="216">SUM(AZ8:AZ11)</f>
        <v>70550258.851976112</v>
      </c>
      <c r="BA12" s="11">
        <f t="shared" ca="1" si="216"/>
        <v>81039322.047728837</v>
      </c>
      <c r="BB12" s="11">
        <f t="shared" ca="1" si="216"/>
        <v>92981322.246701568</v>
      </c>
      <c r="BC12" s="11">
        <f t="shared" ca="1" si="216"/>
        <v>106564290.75326374</v>
      </c>
      <c r="BD12" s="11">
        <f t="shared" ca="1" si="216"/>
        <v>121999059.69466504</v>
      </c>
      <c r="BE12" s="11">
        <f t="shared" ca="1" si="216"/>
        <v>139521860.39468378</v>
      </c>
      <c r="BF12" s="11">
        <f t="shared" ca="1" si="216"/>
        <v>159397200.85969767</v>
      </c>
      <c r="BG12" s="11">
        <f t="shared" ca="1" si="216"/>
        <v>181921050.72100621</v>
      </c>
      <c r="BH12" s="11">
        <f t="shared" ca="1" si="216"/>
        <v>207424364.70607126</v>
      </c>
      <c r="BI12" s="11">
        <f t="shared" ca="1" si="216"/>
        <v>236276978.68994087</v>
      </c>
      <c r="BJ12" s="11">
        <f t="shared" ca="1" si="216"/>
        <v>268891915.62827164</v>
      </c>
      <c r="BK12" s="11">
        <f t="shared" ca="1" si="216"/>
        <v>305730142.21866941</v>
      </c>
      <c r="BL12" s="11">
        <f t="shared" ca="1" si="216"/>
        <v>347305821.00309461</v>
      </c>
      <c r="BM12" s="11">
        <f t="shared" ca="1" si="216"/>
        <v>394192106.8385123</v>
      </c>
      <c r="BN12" s="11">
        <f t="shared" ca="1" si="216"/>
        <v>447027541.25577325</v>
      </c>
      <c r="BO12" s="11">
        <f t="shared" ca="1" si="216"/>
        <v>506523103.23032933</v>
      </c>
      <c r="BP12" s="11">
        <f t="shared" ca="1" si="216"/>
        <v>573469980.33791351</v>
      </c>
      <c r="BQ12" s="11">
        <f t="shared" ca="1" si="216"/>
        <v>648748130.20170724</v>
      </c>
      <c r="BR12" s="11">
        <f t="shared" ca="1" si="216"/>
        <v>733335708.59585452</v>
      </c>
      <c r="BS12" s="11">
        <f t="shared" ca="1" si="216"/>
        <v>828319447.59784055</v>
      </c>
      <c r="BT12" s="11">
        <f t="shared" ca="1" si="216"/>
        <v>934906074.82725728</v>
      </c>
      <c r="BU12" s="11">
        <f t="shared" ca="1" si="216"/>
        <v>1054434873.1226717</v>
      </c>
      <c r="BV12" s="11">
        <f t="shared" ca="1" si="216"/>
        <v>1188391489.0477822</v>
      </c>
      <c r="BW12" s="11">
        <f t="shared" ca="1" si="216"/>
        <v>1338423108.4433162</v>
      </c>
      <c r="BX12" s="11">
        <f t="shared" ca="1" si="216"/>
        <v>1506355127.9176223</v>
      </c>
      <c r="BY12" s="11">
        <f t="shared" ca="1" si="216"/>
        <v>1694209462.767251</v>
      </c>
      <c r="BZ12" s="11">
        <f t="shared" ca="1" si="216"/>
        <v>1904224644.4152529</v>
      </c>
      <c r="CA12" s="11">
        <f t="shared" ca="1" si="216"/>
        <v>2138877874.1317604</v>
      </c>
      <c r="CB12" s="11">
        <f t="shared" ca="1" si="216"/>
        <v>2400909214.6474795</v>
      </c>
      <c r="CC12" s="11">
        <f t="shared" ca="1" si="216"/>
        <v>2693348117.3818245</v>
      </c>
      <c r="CD12" s="11">
        <f t="shared" ca="1" si="216"/>
        <v>3019542500.4869571</v>
      </c>
      <c r="CE12" s="11">
        <f t="shared" ca="1" si="216"/>
        <v>3383190611.8684592</v>
      </c>
      <c r="CF12" s="11">
        <f t="shared" ca="1" si="216"/>
        <v>3788375931.9029531</v>
      </c>
      <c r="CG12" s="11">
        <f t="shared" ca="1" si="216"/>
        <v>4239605392.8623199</v>
      </c>
      <c r="CH12" s="11">
        <f t="shared" ca="1" si="216"/>
        <v>4741851216.2129765</v>
      </c>
      <c r="CI12" s="11">
        <f t="shared" ca="1" si="216"/>
        <v>5300596695.1374483</v>
      </c>
      <c r="CJ12" s="11">
        <f t="shared" ca="1" si="216"/>
        <v>5921886277.9864864</v>
      </c>
      <c r="CK12" s="11">
        <f t="shared" ca="1" si="216"/>
        <v>6612380339.0879412</v>
      </c>
      <c r="CL12" s="11">
        <f t="shared" ca="1" si="216"/>
        <v>7379415056.601717</v>
      </c>
      <c r="CM12" s="11">
        <f t="shared" ca="1" si="216"/>
        <v>8231067853.1211281</v>
      </c>
      <c r="CN12" s="11">
        <f t="shared" ca="1" si="216"/>
        <v>9176228893.6979504</v>
      </c>
      <c r="CO12" s="11">
        <f t="shared" ca="1" si="216"/>
        <v>10224679178.146446</v>
      </c>
      <c r="CP12" s="11">
        <f t="shared" ca="1" si="216"/>
        <v>11387175810.113297</v>
      </c>
      <c r="CQ12" s="11">
        <f t="shared" ca="1" si="216"/>
        <v>12675545074.757933</v>
      </c>
      <c r="CR12" s="11">
        <f t="shared" ca="1" si="216"/>
        <v>14102784010.263636</v>
      </c>
      <c r="CS12" s="11">
        <f t="shared" ca="1" si="216"/>
        <v>15683171216.109081</v>
      </c>
      <c r="CT12" s="11">
        <f t="shared" ca="1" si="216"/>
        <v>17432387703.411205</v>
      </c>
      <c r="CU12" s="11">
        <f t="shared" ca="1" si="216"/>
        <v>19367648660.067467</v>
      </c>
      <c r="CV12" s="11">
        <f t="shared" ca="1" si="216"/>
        <v>21507847076.270363</v>
      </c>
      <c r="CW12" s="11">
        <f t="shared" ca="1" si="216"/>
        <v>23873710254.660103</v>
      </c>
      <c r="CX12" s="11">
        <f t="shared" ref="CX12" ca="1" si="217">SUM(CX8:CX11)</f>
        <v>26487970314.375145</v>
      </c>
      <c r="CY12" s="11">
        <f t="shared" ref="CY12" ca="1" si="218">SUM(CY8:CY11)</f>
        <v>29375549890.040657</v>
      </c>
      <c r="CZ12" s="11">
        <f t="shared" ref="CZ12" ca="1" si="219">SUM(CZ8:CZ11)</f>
        <v>32563764325.824356</v>
      </c>
      <c r="DA12" s="11">
        <f t="shared" ref="DA12" ca="1" si="220">SUM(DA8:DA11)</f>
        <v>36082541771.648277</v>
      </c>
      <c r="DB12" s="11">
        <f t="shared" ref="DB12" ca="1" si="221">SUM(DB8:DB11)</f>
        <v>39964662704.076759</v>
      </c>
      <c r="DC12" s="11">
        <f t="shared" ref="DC12" ca="1" si="222">SUM(DC8:DC11)</f>
        <v>44246020518.952164</v>
      </c>
      <c r="DD12" s="11">
        <f t="shared" ref="DD12" ca="1" si="223">SUM(DD8:DD11)</f>
        <v>48965904977.215103</v>
      </c>
      <c r="DE12" s="11">
        <f t="shared" ref="DE12" ca="1" si="224">SUM(DE8:DE11)</f>
        <v>54167310430.272057</v>
      </c>
      <c r="DF12" s="11">
        <f t="shared" ref="DF12" ca="1" si="225">SUM(DF8:DF11)</f>
        <v>59897270907.559616</v>
      </c>
      <c r="DG12" s="11">
        <f t="shared" ref="DG12" ca="1" si="226">SUM(DG8:DG11)</f>
        <v>66207224317.461853</v>
      </c>
      <c r="DH12" s="11">
        <f t="shared" ref="DH12" ca="1" si="227">SUM(DH8:DH11)</f>
        <v>73153408194.386292</v>
      </c>
      <c r="DI12" s="11">
        <f t="shared" ref="DI12" ca="1" si="228">SUM(DI8:DI11)</f>
        <v>80797289620.585175</v>
      </c>
      <c r="DJ12" s="11">
        <f t="shared" ref="DJ12" ca="1" si="229">SUM(DJ8:DJ11)</f>
        <v>89206032162.282837</v>
      </c>
      <c r="DK12" s="11">
        <f t="shared" ref="DK12" ca="1" si="230">SUM(DK8:DK11)</f>
        <v>98453002886.975098</v>
      </c>
      <c r="DL12" s="11">
        <f t="shared" ref="DL12" ca="1" si="231">SUM(DL8:DL11)</f>
        <v>108618322773.62502</v>
      </c>
      <c r="DM12" s="11">
        <f t="shared" ref="DM12" ca="1" si="232">SUM(DM8:DM11)</f>
        <v>119789464091.19751</v>
      </c>
      <c r="DN12" s="11">
        <f t="shared" ref="DN12" ca="1" si="233">SUM(DN8:DN11)</f>
        <v>132061898604.95987</v>
      </c>
      <c r="DO12" s="11">
        <f t="shared" ref="DO12" ca="1" si="234">SUM(DO8:DO11)</f>
        <v>145539800775.72827</v>
      </c>
      <c r="DP12" s="11">
        <f t="shared" ref="DP12" ca="1" si="235">SUM(DP8:DP11)</f>
        <v>160336810446.37512</v>
      </c>
      <c r="DQ12" s="11">
        <f t="shared" ref="DQ12" ca="1" si="236">SUM(DQ8:DQ11)</f>
        <v>176576859864.15714</v>
      </c>
      <c r="DR12" s="11">
        <f t="shared" ref="DR12" ca="1" si="237">SUM(DR8:DR11)</f>
        <v>194395070268.63113</v>
      </c>
      <c r="DS12" s="11">
        <f t="shared" ref="DS12" ca="1" si="238">SUM(DS8:DS11)</f>
        <v>213938723685.07578</v>
      </c>
      <c r="DT12" s="11">
        <f t="shared" ref="DT12" ca="1" si="239">SUM(DT8:DT11)</f>
        <v>235368316004.56042</v>
      </c>
      <c r="DU12" s="11">
        <f t="shared" ref="DU12" ca="1" si="240">SUM(DU8:DU11)</f>
        <v>258858697906.37225</v>
      </c>
      <c r="DV12" s="11">
        <f t="shared" ref="DV12" ca="1" si="241">SUM(DV8:DV11)</f>
        <v>284600310688.86523</v>
      </c>
      <c r="DW12" s="11">
        <f t="shared" ref="DW12" ca="1" si="242">SUM(DW8:DW11)</f>
        <v>312800524623.54315</v>
      </c>
      <c r="DX12" s="11">
        <f t="shared" ref="DX12" ca="1" si="243">SUM(DX8:DX11)</f>
        <v>343685088037.12622</v>
      </c>
      <c r="DY12" s="11">
        <f t="shared" ref="DY12" ca="1" si="244">SUM(DY8:DY11)</f>
        <v>377499695960.46594</v>
      </c>
      <c r="DZ12" s="11">
        <f t="shared" ref="DZ12" ca="1" si="245">SUM(DZ8:DZ11)</f>
        <v>414511687864.67456</v>
      </c>
      <c r="EA12" s="11">
        <f t="shared" ref="EA12" ca="1" si="246">SUM(EA8:EA11)</f>
        <v>455011884737.14178</v>
      </c>
      <c r="EB12" s="11">
        <f t="shared" ref="EB12" ca="1" si="247">SUM(EB8:EB11)</f>
        <v>499316576536.89575</v>
      </c>
      <c r="EC12" s="11">
        <f t="shared" ref="EC12" ca="1" si="248">SUM(EC8:EC11)</f>
        <v>547769671913.948</v>
      </c>
      <c r="ED12" s="11">
        <f t="shared" ref="ED12" ca="1" si="249">SUM(ED8:ED11)</f>
        <v>600745022985.0415</v>
      </c>
      <c r="EE12" s="11">
        <f t="shared" ref="EE12" ca="1" si="250">SUM(EE8:EE11)</f>
        <v>658648938933.08459</v>
      </c>
      <c r="EF12" s="11">
        <f t="shared" ref="EF12" ca="1" si="251">SUM(EF8:EF11)</f>
        <v>721922903244.30469</v>
      </c>
      <c r="EG12" s="11">
        <f t="shared" ref="EG12" ca="1" si="252">SUM(EG8:EG11)</f>
        <v>791046510520.93298</v>
      </c>
      <c r="EH12" s="11">
        <f t="shared" ref="EH12" ca="1" si="253">SUM(EH8:EH11)</f>
        <v>866540640013.51025</v>
      </c>
      <c r="EI12" s="11">
        <f t="shared" ref="EI12" ca="1" si="254">SUM(EI8:EI11)</f>
        <v>948970884311.58203</v>
      </c>
      <c r="EJ12" s="11">
        <f t="shared" ref="EJ12" ca="1" si="255">SUM(EJ8:EJ11)</f>
        <v>1038951253020.8677</v>
      </c>
      <c r="EK12" s="11">
        <f t="shared" ref="EK12" ca="1" si="256">SUM(EK8:EK11)</f>
        <v>1137148172745.6875</v>
      </c>
      <c r="EL12" s="11">
        <f t="shared" ref="EL12" ca="1" si="257">SUM(EL8:EL11)</f>
        <v>1244284806294.6506</v>
      </c>
      <c r="EM12" s="11">
        <f t="shared" ref="EM12" ca="1" si="258">SUM(EM8:EM11)</f>
        <v>1361145715743.0251</v>
      </c>
      <c r="EN12" s="11">
        <f t="shared" ref="EN12" ca="1" si="259">SUM(EN8:EN11)</f>
        <v>1488581895825.0042</v>
      </c>
      <c r="EO12" s="11">
        <f t="shared" ref="EO12" ca="1" si="260">SUM(EO8:EO11)</f>
        <v>1627516206102.0042</v>
      </c>
      <c r="EP12" s="11">
        <f t="shared" ref="EP12" ca="1" si="261">SUM(EP8:EP11)</f>
        <v>1778949232468.5034</v>
      </c>
      <c r="EQ12" s="11">
        <f t="shared" ref="EQ12" ca="1" si="262">SUM(EQ8:EQ11)</f>
        <v>1943965610824.748</v>
      </c>
      <c r="ER12" s="11">
        <f t="shared" ref="ER12" ca="1" si="263">SUM(ER8:ER11)</f>
        <v>2123740848176.5732</v>
      </c>
      <c r="ES12" s="11">
        <f t="shared" ref="ES12" ca="1" si="264">SUM(ES8:ES11)</f>
        <v>2319548679027.9629</v>
      </c>
      <c r="ET12" s="11">
        <f t="shared" ref="ET12" ca="1" si="265">SUM(ET8:ET11)</f>
        <v>2532768997723.9907</v>
      </c>
      <c r="EU12" s="11">
        <f t="shared" ref="EU12" ca="1" si="266">SUM(EU8:EU11)</f>
        <v>2764896410393.3687</v>
      </c>
    </row>
    <row r="13" spans="1:151">
      <c r="A13" s="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</row>
    <row r="14" spans="1:151" ht="15">
      <c r="A14" s="14">
        <v>0</v>
      </c>
      <c r="B14" s="23">
        <f ca="1">RAND()*1000</f>
        <v>310.47361242412751</v>
      </c>
      <c r="C14" s="10">
        <f ca="1">SUM(B14:B17)*C$2-SUM(C15:C17)</f>
        <v>2573.9250428059513</v>
      </c>
      <c r="D14" s="10">
        <f t="shared" ref="D14:AY14" ca="1" si="267">SUM(C14:C17)*D$2-SUM(D15:D17)</f>
        <v>3204.9636792944812</v>
      </c>
      <c r="E14" s="10">
        <f t="shared" ca="1" si="267"/>
        <v>4363.3660028605145</v>
      </c>
      <c r="F14" s="10">
        <f t="shared" ca="1" si="267"/>
        <v>6283.0543274001939</v>
      </c>
      <c r="G14" s="10">
        <f t="shared" ca="1" si="267"/>
        <v>9109.3824071319177</v>
      </c>
      <c r="H14" s="10">
        <f t="shared" ca="1" si="267"/>
        <v>12142.858108040198</v>
      </c>
      <c r="I14" s="10">
        <f t="shared" ca="1" si="267"/>
        <v>16316.781292648768</v>
      </c>
      <c r="J14" s="10">
        <f t="shared" ca="1" si="267"/>
        <v>21742.892669115685</v>
      </c>
      <c r="K14" s="10">
        <f t="shared" ca="1" si="267"/>
        <v>28564.596929921667</v>
      </c>
      <c r="L14" s="10">
        <f t="shared" ca="1" si="267"/>
        <v>37032.713557009847</v>
      </c>
      <c r="M14" s="10">
        <f t="shared" ca="1" si="267"/>
        <v>47723.368590585582</v>
      </c>
      <c r="N14" s="10">
        <f t="shared" ca="1" si="267"/>
        <v>61000.096913149682</v>
      </c>
      <c r="O14" s="10">
        <f t="shared" ca="1" si="267"/>
        <v>77373.768368193996</v>
      </c>
      <c r="P14" s="10">
        <f t="shared" ca="1" si="267"/>
        <v>97502.137146331632</v>
      </c>
      <c r="Q14" s="10">
        <f t="shared" ca="1" si="267"/>
        <v>122166.63284432242</v>
      </c>
      <c r="R14" s="10">
        <f t="shared" ca="1" si="267"/>
        <v>152213.74269595926</v>
      </c>
      <c r="S14" s="10">
        <f t="shared" ca="1" si="267"/>
        <v>188681.49100868596</v>
      </c>
      <c r="T14" s="10">
        <f t="shared" ca="1" si="267"/>
        <v>232791.17773252307</v>
      </c>
      <c r="U14" s="10">
        <f t="shared" ca="1" si="267"/>
        <v>285956.63392765069</v>
      </c>
      <c r="V14" s="10">
        <f t="shared" ca="1" si="267"/>
        <v>349816.81599333417</v>
      </c>
      <c r="W14" s="10">
        <f t="shared" ca="1" si="267"/>
        <v>426292.93950341223</v>
      </c>
      <c r="X14" s="10">
        <f t="shared" ca="1" si="267"/>
        <v>517612.04546363675</v>
      </c>
      <c r="Y14" s="10">
        <f t="shared" ca="1" si="267"/>
        <v>626350.86180231487</v>
      </c>
      <c r="Z14" s="10">
        <f t="shared" ca="1" si="267"/>
        <v>755491.53995162644</v>
      </c>
      <c r="AA14" s="10">
        <f t="shared" ca="1" si="267"/>
        <v>908481.57046976872</v>
      </c>
      <c r="AB14" s="10">
        <f t="shared" ca="1" si="267"/>
        <v>1089294.2086087414</v>
      </c>
      <c r="AC14" s="10">
        <f t="shared" ca="1" si="267"/>
        <v>1302503.839418337</v>
      </c>
      <c r="AD14" s="10">
        <f t="shared" ca="1" si="267"/>
        <v>1553370.6697688485</v>
      </c>
      <c r="AE14" s="10">
        <f t="shared" ca="1" si="267"/>
        <v>1847934.1530371658</v>
      </c>
      <c r="AF14" s="10">
        <f t="shared" ca="1" si="267"/>
        <v>2193117.9577534935</v>
      </c>
      <c r="AG14" s="10">
        <f t="shared" ca="1" si="267"/>
        <v>2596849.9968632106</v>
      </c>
      <c r="AH14" s="10">
        <f t="shared" ca="1" si="267"/>
        <v>3068196.5651956061</v>
      </c>
      <c r="AI14" s="10">
        <f t="shared" ca="1" si="267"/>
        <v>3617512.6207372788</v>
      </c>
      <c r="AJ14" s="10">
        <f t="shared" ca="1" si="267"/>
        <v>4256610.8449090794</v>
      </c>
      <c r="AK14" s="10">
        <f t="shared" ca="1" si="267"/>
        <v>4998951.5675065964</v>
      </c>
      <c r="AL14" s="10">
        <f t="shared" ca="1" si="267"/>
        <v>5859855.2858910635</v>
      </c>
      <c r="AM14" s="10">
        <f t="shared" ca="1" si="267"/>
        <v>6856740.6998372748</v>
      </c>
      <c r="AN14" s="10">
        <f t="shared" ca="1" si="267"/>
        <v>8009391.2442785371</v>
      </c>
      <c r="AO14" s="10">
        <f t="shared" ca="1" si="267"/>
        <v>9340253.1400953941</v>
      </c>
      <c r="AP14" s="10">
        <f t="shared" ca="1" si="267"/>
        <v>10874768.378642019</v>
      </c>
      <c r="AQ14" s="10">
        <f t="shared" ca="1" si="267"/>
        <v>12641746.619880736</v>
      </c>
      <c r="AR14" s="10">
        <f t="shared" ca="1" si="267"/>
        <v>14673780.23881387</v>
      </c>
      <c r="AS14" s="10">
        <f t="shared" ca="1" si="267"/>
        <v>17007707.162640162</v>
      </c>
      <c r="AT14" s="10">
        <f t="shared" ca="1" si="267"/>
        <v>19685126.680360999</v>
      </c>
      <c r="AU14" s="10">
        <f t="shared" ca="1" si="267"/>
        <v>22752973.949395008</v>
      </c>
      <c r="AV14" s="10">
        <f t="shared" ca="1" si="267"/>
        <v>26264159.454008706</v>
      </c>
      <c r="AW14" s="10">
        <f t="shared" ca="1" si="267"/>
        <v>30278280.314923152</v>
      </c>
      <c r="AX14" s="10">
        <f t="shared" ca="1" si="267"/>
        <v>34862411.058724903</v>
      </c>
      <c r="AY14" s="10">
        <f t="shared" ca="1" si="267"/>
        <v>40091982.207203075</v>
      </c>
      <c r="AZ14" s="10">
        <f t="shared" ref="AZ14" ca="1" si="268">SUM(AY14:AY17)*AZ$2-SUM(AZ15:AZ17)</f>
        <v>46051755.868315235</v>
      </c>
      <c r="BA14" s="10">
        <f t="shared" ref="BA14" ca="1" si="269">SUM(AZ14:AZ17)*BA$2-SUM(BA15:BA17)</f>
        <v>52836908.427159041</v>
      </c>
      <c r="BB14" s="10">
        <f t="shared" ref="BB14" ca="1" si="270">SUM(BA14:BA17)*BB$2-SUM(BB15:BB17)</f>
        <v>60554231.430807173</v>
      </c>
      <c r="BC14" s="10">
        <f t="shared" ref="BC14" ca="1" si="271">SUM(BB14:BB17)*BC$2-SUM(BC15:BC17)</f>
        <v>69323462.843849346</v>
      </c>
      <c r="BD14" s="10">
        <f t="shared" ref="BD14" ca="1" si="272">SUM(BC14:BC17)*BD$2-SUM(BD15:BD17)</f>
        <v>79278762.039158657</v>
      </c>
      <c r="BE14" s="10">
        <f t="shared" ref="BE14" ca="1" si="273">SUM(BD14:BD17)*BE$2-SUM(BE15:BE17)</f>
        <v>90570343.188738436</v>
      </c>
      <c r="BF14" s="10">
        <f t="shared" ref="BF14" ca="1" si="274">SUM(BE14:BE17)*BF$2-SUM(BF15:BF17)</f>
        <v>103366283.1363667</v>
      </c>
      <c r="BG14" s="10">
        <f t="shared" ref="BG14" ca="1" si="275">SUM(BF14:BF17)*BG$2-SUM(BG15:BG17)</f>
        <v>117854521.38072005</v>
      </c>
      <c r="BH14" s="10">
        <f t="shared" ref="BH14" ca="1" si="276">SUM(BG14:BG17)*BH$2-SUM(BH15:BH17)</f>
        <v>134245071.48772514</v>
      </c>
      <c r="BI14" s="10">
        <f t="shared" ref="BI14" ca="1" si="277">SUM(BH14:BH17)*BI$2-SUM(BI15:BI17)</f>
        <v>152772465.09478289</v>
      </c>
      <c r="BJ14" s="10">
        <f t="shared" ref="BJ14" ca="1" si="278">SUM(BI14:BI17)*BJ$2-SUM(BJ15:BJ17)</f>
        <v>173698451.67994887</v>
      </c>
      <c r="BK14" s="10">
        <f t="shared" ref="BK14" ca="1" si="279">SUM(BJ14:BJ17)*BK$2-SUM(BK15:BK17)</f>
        <v>197314979.46183389</v>
      </c>
      <c r="BL14" s="10">
        <f t="shared" ref="BL14" ca="1" si="280">SUM(BK14:BK17)*BL$2-SUM(BL15:BL17)</f>
        <v>223947485.18654072</v>
      </c>
      <c r="BM14" s="10">
        <f t="shared" ref="BM14" ca="1" si="281">SUM(BL14:BL17)*BM$2-SUM(BM15:BM17)</f>
        <v>253958523.16279125</v>
      </c>
      <c r="BN14" s="10">
        <f t="shared" ref="BN14" ca="1" si="282">SUM(BM14:BM17)*BN$2-SUM(BN15:BN17)</f>
        <v>287751766.74408305</v>
      </c>
      <c r="BO14" s="10">
        <f t="shared" ref="BO14" ca="1" si="283">SUM(BN14:BN17)*BO$2-SUM(BO15:BO17)</f>
        <v>325776418.54741502</v>
      </c>
      <c r="BP14" s="10">
        <f t="shared" ref="BP14" ca="1" si="284">SUM(BO14:BO17)*BP$2-SUM(BP15:BP17)</f>
        <v>368532069.06317282</v>
      </c>
      <c r="BQ14" s="10">
        <f t="shared" ref="BQ14" ca="1" si="285">SUM(BP14:BP17)*BQ$2-SUM(BQ15:BQ17)</f>
        <v>416574046.9733789</v>
      </c>
      <c r="BR14" s="10">
        <f t="shared" ref="BR14" ca="1" si="286">SUM(BQ14:BQ17)*BR$2-SUM(BR15:BR17)</f>
        <v>470519308.48095393</v>
      </c>
      <c r="BS14" s="10">
        <f t="shared" ref="BS14" ca="1" si="287">SUM(BR14:BR17)*BS$2-SUM(BS15:BS17)</f>
        <v>531052917.2881248</v>
      </c>
      <c r="BT14" s="10">
        <f t="shared" ref="BT14" ca="1" si="288">SUM(BS14:BS17)*BT$2-SUM(BT15:BT17)</f>
        <v>598935171.57702732</v>
      </c>
      <c r="BU14" s="10">
        <f t="shared" ref="BU14" ca="1" si="289">SUM(BT14:BT17)*BU$2-SUM(BU15:BU17)</f>
        <v>675009439.47160959</v>
      </c>
      <c r="BV14" s="10">
        <f t="shared" ref="BV14" ca="1" si="290">SUM(BU14:BU17)*BV$2-SUM(BV15:BV17)</f>
        <v>760210770.03158331</v>
      </c>
      <c r="BW14" s="10">
        <f t="shared" ref="BW14" ca="1" si="291">SUM(BV14:BV17)*BW$2-SUM(BW15:BW17)</f>
        <v>855575352.88336349</v>
      </c>
      <c r="BX14" s="10">
        <f t="shared" ref="BX14" ca="1" si="292">SUM(BW14:BW17)*BX$2-SUM(BX15:BX17)</f>
        <v>962250906.1697917</v>
      </c>
      <c r="BY14" s="10">
        <f t="shared" ref="BY14" ca="1" si="293">SUM(BX14:BX17)*BY$2-SUM(BY15:BY17)</f>
        <v>1081508079.6431165</v>
      </c>
      <c r="BZ14" s="10">
        <f t="shared" ref="BZ14" ca="1" si="294">SUM(BY14:BY17)*BZ$2-SUM(BZ15:BZ17)</f>
        <v>1214752967.4808936</v>
      </c>
      <c r="CA14" s="10">
        <f t="shared" ref="CA14" ca="1" si="295">SUM(BZ14:BZ17)*CA$2-SUM(CA15:CA17)</f>
        <v>1363540833.8225155</v>
      </c>
      <c r="CB14" s="10">
        <f t="shared" ref="CB14" ca="1" si="296">SUM(CA14:CA17)*CB$2-SUM(CB15:CB17)</f>
        <v>1529591163.1592531</v>
      </c>
      <c r="CC14" s="10">
        <f t="shared" ref="CC14" ca="1" si="297">SUM(CB14:CB17)*CC$2-SUM(CC15:CC17)</f>
        <v>1714804157.6216717</v>
      </c>
      <c r="CD14" s="10">
        <f t="shared" ref="CD14" ca="1" si="298">SUM(CC14:CC17)*CD$2-SUM(CD15:CD17)</f>
        <v>1921278813.9581203</v>
      </c>
      <c r="CE14" s="10">
        <f t="shared" ref="CE14" ca="1" si="299">SUM(CD14:CD17)*CE$2-SUM(CE15:CE17)</f>
        <v>2151332724.6550446</v>
      </c>
      <c r="CF14" s="10">
        <f t="shared" ref="CF14" ca="1" si="300">SUM(CE14:CE17)*CF$2-SUM(CF15:CF17)</f>
        <v>2407523760.287313</v>
      </c>
      <c r="CG14" s="10">
        <f t="shared" ref="CG14" ca="1" si="301">SUM(CF14:CF17)*CG$2-SUM(CG15:CG17)</f>
        <v>2692673803.8840218</v>
      </c>
      <c r="CH14" s="10">
        <f t="shared" ref="CH14" ca="1" si="302">SUM(CG14:CG17)*CH$2-SUM(CH15:CH17)</f>
        <v>3009894722.9374847</v>
      </c>
      <c r="CI14" s="10">
        <f t="shared" ref="CI14" ca="1" si="303">SUM(CH14:CH17)*CI$2-SUM(CI15:CI17)</f>
        <v>3362616780.7624254</v>
      </c>
      <c r="CJ14" s="10">
        <f t="shared" ref="CJ14" ca="1" si="304">SUM(CI14:CI17)*CJ$2-SUM(CJ15:CJ17)</f>
        <v>3754619706.3275127</v>
      </c>
      <c r="CK14" s="10">
        <f t="shared" ref="CK14" ca="1" si="305">SUM(CJ14:CJ17)*CK$2-SUM(CK15:CK17)</f>
        <v>4190066660.5394468</v>
      </c>
      <c r="CL14" s="10">
        <f t="shared" ref="CL14" ca="1" si="306">SUM(CK14:CK17)*CL$2-SUM(CL15:CL17)</f>
        <v>4673541357.3751574</v>
      </c>
      <c r="CM14" s="10">
        <f t="shared" ref="CM14" ca="1" si="307">SUM(CL14:CL17)*CM$2-SUM(CM15:CM17)</f>
        <v>5210088620.3543434</v>
      </c>
      <c r="CN14" s="10">
        <f t="shared" ref="CN14" ca="1" si="308">SUM(CM14:CM17)*CN$2-SUM(CN15:CN17)</f>
        <v>5805258678.7555103</v>
      </c>
      <c r="CO14" s="10">
        <f t="shared" ref="CO14" ca="1" si="309">SUM(CN14:CN17)*CO$2-SUM(CO15:CO17)</f>
        <v>6465155533.8472347</v>
      </c>
      <c r="CP14" s="10">
        <f t="shared" ref="CP14" ca="1" si="310">SUM(CO14:CO17)*CP$2-SUM(CP15:CP17)</f>
        <v>7196489753.3865032</v>
      </c>
      <c r="CQ14" s="10">
        <f t="shared" ref="CQ14" ca="1" si="311">SUM(CP14:CP17)*CQ$2-SUM(CQ15:CQ17)</f>
        <v>8006636082.8939762</v>
      </c>
      <c r="CR14" s="10">
        <f t="shared" ref="CR14" ca="1" si="312">SUM(CQ14:CQ17)*CR$2-SUM(CR15:CR17)</f>
        <v>8903696294.9297276</v>
      </c>
      <c r="CS14" s="10">
        <f t="shared" ref="CS14" ca="1" si="313">SUM(CR14:CR17)*CS$2-SUM(CS15:CS17)</f>
        <v>9896567732.9547653</v>
      </c>
      <c r="CT14" s="10">
        <f t="shared" ref="CT14" ca="1" si="314">SUM(CS14:CS17)*CT$2-SUM(CT15:CT17)</f>
        <v>10995018044.579632</v>
      </c>
      <c r="CU14" s="10">
        <f t="shared" ref="CU14" ca="1" si="315">SUM(CT14:CT17)*CU$2-SUM(CU15:CU17)</f>
        <v>12209766640.293282</v>
      </c>
      <c r="CV14" s="10">
        <f t="shared" ref="CV14" ca="1" si="316">SUM(CU14:CU17)*CV$2-SUM(CV15:CV17)</f>
        <v>13552573458.372055</v>
      </c>
      <c r="CW14" s="10">
        <f t="shared" ref="CW14" ca="1" si="317">SUM(CV14:CV17)*CW$2-SUM(CW15:CW17)</f>
        <v>15036335664.845558</v>
      </c>
      <c r="CX14" s="10">
        <f t="shared" ref="CX14" ca="1" si="318">SUM(CW14:CW17)*CX$2-SUM(CX15:CX17)</f>
        <v>16675192969.420254</v>
      </c>
      <c r="CY14" s="10">
        <f t="shared" ref="CY14" ca="1" si="319">SUM(CX14:CX17)*CY$2-SUM(CY15:CY17)</f>
        <v>18484642294.42667</v>
      </c>
      <c r="CZ14" s="10">
        <f t="shared" ref="CZ14" ca="1" si="320">SUM(CY14:CY17)*CZ$2-SUM(CZ15:CZ17)</f>
        <v>20481662594.481956</v>
      </c>
      <c r="DA14" s="10">
        <f t="shared" ref="DA14" ca="1" si="321">SUM(CZ14:CZ17)*DA$2-SUM(DA15:DA17)</f>
        <v>22684850689.986473</v>
      </c>
      <c r="DB14" s="10">
        <f t="shared" ref="DB14" ca="1" si="322">SUM(DA14:DA17)*DB$2-SUM(DB15:DB17)</f>
        <v>25114569048.168068</v>
      </c>
      <c r="DC14" s="10">
        <f t="shared" ref="DC14" ca="1" si="323">SUM(DB14:DB17)*DC$2-SUM(DC15:DC17)</f>
        <v>27793106521.544472</v>
      </c>
      <c r="DD14" s="10">
        <f t="shared" ref="DD14" ca="1" si="324">SUM(DC14:DC17)*DD$2-SUM(DD15:DD17)</f>
        <v>30744853135.814888</v>
      </c>
      <c r="DE14" s="10">
        <f t="shared" ref="DE14" ca="1" si="325">SUM(DD14:DD17)*DE$2-SUM(DE15:DE17)</f>
        <v>33996490107.771873</v>
      </c>
      <c r="DF14" s="10">
        <f t="shared" ref="DF14" ca="1" si="326">SUM(DE14:DE17)*DF$2-SUM(DF15:DF17)</f>
        <v>37577196369.327209</v>
      </c>
      <c r="DG14" s="10">
        <f t="shared" ref="DG14" ca="1" si="327">SUM(DF14:DF17)*DG$2-SUM(DG15:DG17)</f>
        <v>41518872976.697754</v>
      </c>
      <c r="DH14" s="10">
        <f t="shared" ref="DH14" ca="1" si="328">SUM(DG14:DG17)*DH$2-SUM(DH15:DH17)</f>
        <v>45856386894.756149</v>
      </c>
      <c r="DI14" s="10">
        <f t="shared" ref="DI14" ca="1" si="329">SUM(DH14:DH17)*DI$2-SUM(DI15:DI17)</f>
        <v>50627835766.118835</v>
      </c>
      <c r="DJ14" s="10">
        <f t="shared" ref="DJ14" ca="1" si="330">SUM(DI14:DI17)*DJ$2-SUM(DJ15:DJ17)</f>
        <v>55874835403.367203</v>
      </c>
      <c r="DK14" s="10">
        <f t="shared" ref="DK14" ca="1" si="331">SUM(DJ14:DJ17)*DK$2-SUM(DK15:DK17)</f>
        <v>61642831881.565109</v>
      </c>
      <c r="DL14" s="10">
        <f t="shared" ref="DL14" ca="1" si="332">SUM(DK14:DK17)*DL$2-SUM(DL15:DL17)</f>
        <v>67981440257.691895</v>
      </c>
      <c r="DM14" s="10">
        <f t="shared" ref="DM14" ca="1" si="333">SUM(DL14:DL17)*DM$2-SUM(DM15:DM17)</f>
        <v>74944812104.548401</v>
      </c>
      <c r="DN14" s="10">
        <f t="shared" ref="DN14" ca="1" si="334">SUM(DM14:DM17)*DN$2-SUM(DN15:DN17)</f>
        <v>82592034219.964813</v>
      </c>
      <c r="DO14" s="10">
        <f t="shared" ref="DO14" ca="1" si="335">SUM(DN14:DN17)*DO$2-SUM(DO15:DO17)</f>
        <v>90987561058.664734</v>
      </c>
      <c r="DP14" s="10">
        <f t="shared" ref="DP14" ca="1" si="336">SUM(DO14:DO17)*DP$2-SUM(DP15:DP17)</f>
        <v>100201683634.8826</v>
      </c>
      <c r="DQ14" s="10">
        <f t="shared" ref="DQ14" ca="1" si="337">SUM(DP14:DP17)*DQ$2-SUM(DQ15:DQ17)</f>
        <v>110311037859.86362</v>
      </c>
      <c r="DR14" s="10">
        <f t="shared" ref="DR14" ca="1" si="338">SUM(DQ14:DQ17)*DR$2-SUM(DR15:DR17)</f>
        <v>121399155510.7951</v>
      </c>
      <c r="DS14" s="10">
        <f t="shared" ref="DS14" ca="1" si="339">SUM(DR14:DR17)*DS$2-SUM(DS15:DS17)</f>
        <v>133557061277.7525</v>
      </c>
      <c r="DT14" s="10">
        <f t="shared" ref="DT14" ca="1" si="340">SUM(DS14:DS17)*DT$2-SUM(DT15:DT17)</f>
        <v>146883919604.16379</v>
      </c>
      <c r="DU14" s="10">
        <f t="shared" ref="DU14" ca="1" si="341">SUM(DT14:DT17)*DU$2-SUM(DU15:DU17)</f>
        <v>161487735325.49554</v>
      </c>
      <c r="DV14" s="10">
        <f t="shared" ref="DV14" ca="1" si="342">SUM(DU14:DU17)*DV$2-SUM(DV15:DV17)</f>
        <v>177486112421.81427</v>
      </c>
      <c r="DW14" s="10">
        <f t="shared" ref="DW14" ca="1" si="343">SUM(DV14:DV17)*DW$2-SUM(DW15:DW17)</f>
        <v>195007075534.16162</v>
      </c>
      <c r="DX14" s="10">
        <f t="shared" ref="DX14" ca="1" si="344">SUM(DW14:DW17)*DX$2-SUM(DX15:DX17)</f>
        <v>214189959254.00525</v>
      </c>
      <c r="DY14" s="10">
        <f t="shared" ref="DY14" ca="1" si="345">SUM(DX14:DX17)*DY$2-SUM(DY15:DY17)</f>
        <v>235186370581.18213</v>
      </c>
      <c r="DZ14" s="10">
        <f t="shared" ref="DZ14" ca="1" si="346">SUM(DY14:DY17)*DZ$2-SUM(DZ15:DZ17)</f>
        <v>258161230360.70068</v>
      </c>
      <c r="EA14" s="10">
        <f t="shared" ref="EA14" ca="1" si="347">SUM(DZ14:DZ17)*EA$2-SUM(EA15:EA17)</f>
        <v>283293899954.58411</v>
      </c>
      <c r="EB14" s="10">
        <f t="shared" ref="EB14" ca="1" si="348">SUM(EA14:EA17)*EB$2-SUM(EB15:EB17)</f>
        <v>310779399883.8197</v>
      </c>
      <c r="EC14" s="10">
        <f t="shared" ref="EC14" ca="1" si="349">SUM(EB14:EB17)*EC$2-SUM(EC15:EC17)</f>
        <v>340829727689.84973</v>
      </c>
      <c r="ED14" s="10">
        <f t="shared" ref="ED14" ca="1" si="350">SUM(EC14:EC17)*ED$2-SUM(ED15:ED17)</f>
        <v>373675282817.39185</v>
      </c>
      <c r="EE14" s="10">
        <f t="shared" ref="EE14" ca="1" si="351">SUM(ED14:ED17)*EE$2-SUM(EE15:EE17)</f>
        <v>409566406913.46826</v>
      </c>
      <c r="EF14" s="10">
        <f t="shared" ref="EF14" ca="1" si="352">SUM(EE14:EE17)*EF$2-SUM(EF15:EF17)</f>
        <v>448775048574.24683</v>
      </c>
      <c r="EG14" s="10">
        <f t="shared" ref="EG14" ca="1" si="353">SUM(EF14:EF17)*EG$2-SUM(EG15:EG17)</f>
        <v>491596562254.75854</v>
      </c>
      <c r="EH14" s="10">
        <f t="shared" ref="EH14" ca="1" si="354">SUM(EG14:EG17)*EH$2-SUM(EH15:EH17)</f>
        <v>538351651790.08521</v>
      </c>
      <c r="EI14" s="10">
        <f t="shared" ref="EI14" ca="1" si="355">SUM(EH14:EH17)*EI$2-SUM(EI15:EI17)</f>
        <v>589388469763.78418</v>
      </c>
      <c r="EJ14" s="10">
        <f t="shared" ref="EJ14" ca="1" si="356">SUM(EI14:EI17)*EJ$2-SUM(EJ15:EJ17)</f>
        <v>645084884803.86914</v>
      </c>
      <c r="EK14" s="10">
        <f t="shared" ref="EK14" ca="1" si="357">SUM(EJ14:EJ17)*EK$2-SUM(EK15:EK17)</f>
        <v>705850929792.74683</v>
      </c>
      <c r="EL14" s="10">
        <f t="shared" ref="EL14" ca="1" si="358">SUM(EK14:EK17)*EL$2-SUM(EL15:EL17)</f>
        <v>772131444949.38232</v>
      </c>
      <c r="EM14" s="10">
        <f t="shared" ref="EM14" ca="1" si="359">SUM(EL14:EL17)*EM$2-SUM(EM15:EM17)</f>
        <v>844408930784.30298</v>
      </c>
      <c r="EN14" s="10">
        <f t="shared" ref="EN14" ca="1" si="360">SUM(EM14:EM17)*EN$2-SUM(EN15:EN17)</f>
        <v>923206627045.77808</v>
      </c>
      <c r="EO14" s="10">
        <f t="shared" ref="EO14" ca="1" si="361">SUM(EN14:EN17)*EO$2-SUM(EO15:EO17)</f>
        <v>1009091834974.001</v>
      </c>
      <c r="EP14" s="10">
        <f t="shared" ref="EP14" ca="1" si="362">SUM(EO14:EO17)*EP$2-SUM(EP15:EP17)</f>
        <v>1102679501464.8379</v>
      </c>
      <c r="EQ14" s="10">
        <f t="shared" ref="EQ14" ca="1" si="363">SUM(EP14:EP17)*EQ$2-SUM(EQ15:EQ17)</f>
        <v>1204636085121.9226</v>
      </c>
      <c r="ER14" s="10">
        <f t="shared" ref="ER14" ca="1" si="364">SUM(EQ14:EQ17)*ER$2-SUM(ER15:ER17)</f>
        <v>1315683725651.8818</v>
      </c>
      <c r="ES14" s="10">
        <f t="shared" ref="ES14" ca="1" si="365">SUM(ER14:ER17)*ES$2-SUM(ES15:ES17)</f>
        <v>1436604739639.1626</v>
      </c>
      <c r="ET14" s="10">
        <f t="shared" ref="ET14" ca="1" si="366">SUM(ES14:ES17)*ET$2-SUM(ET15:ET17)</f>
        <v>1568246467431.7607</v>
      </c>
      <c r="EU14" s="10">
        <f t="shared" ref="EU14" ca="1" si="367">SUM(ET14:ET17)*EU$2-SUM(EU15:EU17)</f>
        <v>1711526497684.7466</v>
      </c>
    </row>
    <row r="15" spans="1:151" ht="15">
      <c r="A15" s="14">
        <f>A14+1</f>
        <v>1</v>
      </c>
      <c r="B15" s="23">
        <f t="shared" ref="B15:B17" ca="1" si="368">RAND()*1000</f>
        <v>859.6695597509854</v>
      </c>
      <c r="C15" s="10">
        <f ca="1">B14*C3</f>
        <v>294.94993180292113</v>
      </c>
      <c r="D15" s="10">
        <f t="shared" ref="D15:AY17" ca="1" si="369">C14*D3</f>
        <v>2445.2287906656538</v>
      </c>
      <c r="E15" s="10">
        <f t="shared" ca="1" si="369"/>
        <v>3044.7154953297568</v>
      </c>
      <c r="F15" s="10">
        <f t="shared" ca="1" si="369"/>
        <v>4145.1977027174889</v>
      </c>
      <c r="G15" s="10">
        <f t="shared" ca="1" si="369"/>
        <v>5968.9016110301836</v>
      </c>
      <c r="H15" s="10">
        <f t="shared" ca="1" si="369"/>
        <v>8653.9132867753215</v>
      </c>
      <c r="I15" s="10">
        <f t="shared" ca="1" si="369"/>
        <v>11535.715202638188</v>
      </c>
      <c r="J15" s="10">
        <f t="shared" ca="1" si="369"/>
        <v>15500.942228016329</v>
      </c>
      <c r="K15" s="10">
        <f t="shared" ca="1" si="369"/>
        <v>20655.748035659901</v>
      </c>
      <c r="L15" s="10">
        <f t="shared" ca="1" si="369"/>
        <v>27136.367083425583</v>
      </c>
      <c r="M15" s="10">
        <f t="shared" ca="1" si="369"/>
        <v>35181.077879159355</v>
      </c>
      <c r="N15" s="10">
        <f t="shared" ca="1" si="369"/>
        <v>45337.200161056302</v>
      </c>
      <c r="O15" s="10">
        <f t="shared" ca="1" si="369"/>
        <v>57950.092067492194</v>
      </c>
      <c r="P15" s="10">
        <f t="shared" ca="1" si="369"/>
        <v>73505.079949784296</v>
      </c>
      <c r="Q15" s="10">
        <f t="shared" ca="1" si="369"/>
        <v>92627.030289015049</v>
      </c>
      <c r="R15" s="10">
        <f t="shared" ca="1" si="369"/>
        <v>116058.30120210629</v>
      </c>
      <c r="S15" s="10">
        <f t="shared" ca="1" si="369"/>
        <v>144603.05556116128</v>
      </c>
      <c r="T15" s="10">
        <f t="shared" ca="1" si="369"/>
        <v>179247.41645825165</v>
      </c>
      <c r="U15" s="10">
        <f t="shared" ca="1" si="369"/>
        <v>221151.61884589691</v>
      </c>
      <c r="V15" s="10">
        <f t="shared" ca="1" si="369"/>
        <v>271658.80223126814</v>
      </c>
      <c r="W15" s="10">
        <f t="shared" ca="1" si="369"/>
        <v>332325.97519366746</v>
      </c>
      <c r="X15" s="10">
        <f t="shared" ca="1" si="369"/>
        <v>404978.29252824158</v>
      </c>
      <c r="Y15" s="10">
        <f t="shared" ca="1" si="369"/>
        <v>491731.44319045491</v>
      </c>
      <c r="Z15" s="10">
        <f t="shared" ca="1" si="369"/>
        <v>595033.31871219911</v>
      </c>
      <c r="AA15" s="10">
        <f t="shared" ca="1" si="369"/>
        <v>717716.96295404504</v>
      </c>
      <c r="AB15" s="10">
        <f t="shared" ca="1" si="369"/>
        <v>863057.49194628024</v>
      </c>
      <c r="AC15" s="10">
        <f t="shared" ca="1" si="369"/>
        <v>1034829.4981783043</v>
      </c>
      <c r="AD15" s="10">
        <f t="shared" ca="1" si="369"/>
        <v>1237378.6474474201</v>
      </c>
      <c r="AE15" s="10">
        <f t="shared" ca="1" si="369"/>
        <v>1475702.136280406</v>
      </c>
      <c r="AF15" s="10">
        <f t="shared" ca="1" si="369"/>
        <v>1755537.4453853073</v>
      </c>
      <c r="AG15" s="10">
        <f t="shared" ca="1" si="369"/>
        <v>2083462.0598658186</v>
      </c>
      <c r="AH15" s="10">
        <f t="shared" ca="1" si="369"/>
        <v>2467007.49702005</v>
      </c>
      <c r="AI15" s="10">
        <f t="shared" ca="1" si="369"/>
        <v>2914786.7369358256</v>
      </c>
      <c r="AJ15" s="10">
        <f t="shared" ca="1" si="369"/>
        <v>3436636.9897004147</v>
      </c>
      <c r="AK15" s="10">
        <f t="shared" ca="1" si="369"/>
        <v>4043780.3026636252</v>
      </c>
      <c r="AL15" s="10">
        <f t="shared" ca="1" si="369"/>
        <v>4749003.9891312663</v>
      </c>
      <c r="AM15" s="10">
        <f t="shared" ca="1" si="369"/>
        <v>5566862.52159651</v>
      </c>
      <c r="AN15" s="10">
        <f t="shared" ca="1" si="369"/>
        <v>6513903.6648454107</v>
      </c>
      <c r="AO15" s="10">
        <f t="shared" ca="1" si="369"/>
        <v>7608921.6820646096</v>
      </c>
      <c r="AP15" s="10">
        <f t="shared" ca="1" si="369"/>
        <v>8873240.4830906242</v>
      </c>
      <c r="AQ15" s="10">
        <f t="shared" ca="1" si="369"/>
        <v>10331029.959709918</v>
      </c>
      <c r="AR15" s="10">
        <f t="shared" ca="1" si="369"/>
        <v>12009659.288886698</v>
      </c>
      <c r="AS15" s="10">
        <f t="shared" ca="1" si="369"/>
        <v>13940091.226873176</v>
      </c>
      <c r="AT15" s="10">
        <f t="shared" ca="1" si="369"/>
        <v>16157321.804508153</v>
      </c>
      <c r="AU15" s="10">
        <f t="shared" ca="1" si="369"/>
        <v>18700870.346342947</v>
      </c>
      <c r="AV15" s="10">
        <f t="shared" ca="1" si="369"/>
        <v>21615325.251925256</v>
      </c>
      <c r="AW15" s="10">
        <f t="shared" ca="1" si="369"/>
        <v>24950951.48130827</v>
      </c>
      <c r="AX15" s="10">
        <f t="shared" ca="1" si="369"/>
        <v>28764366.299176995</v>
      </c>
      <c r="AY15" s="10">
        <f t="shared" ca="1" si="369"/>
        <v>33119290.505788654</v>
      </c>
      <c r="AZ15" s="10">
        <f t="shared" ref="AZ15:CW15" ca="1" si="370">AY14*AZ3</f>
        <v>38087383.096842922</v>
      </c>
      <c r="BA15" s="10">
        <f t="shared" ca="1" si="370"/>
        <v>43749168.074899472</v>
      </c>
      <c r="BB15" s="10">
        <f t="shared" ca="1" si="370"/>
        <v>50195063.005801089</v>
      </c>
      <c r="BC15" s="10">
        <f t="shared" ca="1" si="370"/>
        <v>57526519.85926681</v>
      </c>
      <c r="BD15" s="10">
        <f t="shared" ca="1" si="370"/>
        <v>65857289.701656878</v>
      </c>
      <c r="BE15" s="10">
        <f t="shared" ca="1" si="370"/>
        <v>75314823.937200725</v>
      </c>
      <c r="BF15" s="10">
        <f t="shared" ca="1" si="370"/>
        <v>86041826.029301509</v>
      </c>
      <c r="BG15" s="10">
        <f t="shared" ca="1" si="370"/>
        <v>98197968.97954835</v>
      </c>
      <c r="BH15" s="10">
        <f t="shared" ca="1" si="370"/>
        <v>111961795.31168404</v>
      </c>
      <c r="BI15" s="10">
        <f t="shared" ca="1" si="370"/>
        <v>127532817.91333887</v>
      </c>
      <c r="BJ15" s="10">
        <f t="shared" ca="1" si="370"/>
        <v>145133841.84004372</v>
      </c>
      <c r="BK15" s="10">
        <f t="shared" ca="1" si="370"/>
        <v>165013529.09595141</v>
      </c>
      <c r="BL15" s="10">
        <f t="shared" ca="1" si="370"/>
        <v>187449230.4887422</v>
      </c>
      <c r="BM15" s="10">
        <f t="shared" ca="1" si="370"/>
        <v>212750110.92721367</v>
      </c>
      <c r="BN15" s="10">
        <f t="shared" ca="1" si="370"/>
        <v>241260597.00465167</v>
      </c>
      <c r="BO15" s="10">
        <f t="shared" ca="1" si="370"/>
        <v>273364178.40687889</v>
      </c>
      <c r="BP15" s="10">
        <f t="shared" ca="1" si="370"/>
        <v>309487597.62004423</v>
      </c>
      <c r="BQ15" s="10">
        <f t="shared" ca="1" si="370"/>
        <v>350105465.61001414</v>
      </c>
      <c r="BR15" s="10">
        <f t="shared" ca="1" si="370"/>
        <v>395745344.6247099</v>
      </c>
      <c r="BS15" s="10">
        <f t="shared" ca="1" si="370"/>
        <v>446993343.05690622</v>
      </c>
      <c r="BT15" s="10">
        <f t="shared" ca="1" si="370"/>
        <v>504500271.42371851</v>
      </c>
      <c r="BU15" s="10">
        <f t="shared" ca="1" si="370"/>
        <v>568988412.99817598</v>
      </c>
      <c r="BV15" s="10">
        <f t="shared" ca="1" si="370"/>
        <v>641258967.49802911</v>
      </c>
      <c r="BW15" s="10">
        <f t="shared" ca="1" si="370"/>
        <v>722200231.53000414</v>
      </c>
      <c r="BX15" s="10">
        <f t="shared" ca="1" si="370"/>
        <v>812796585.23919523</v>
      </c>
      <c r="BY15" s="10">
        <f t="shared" ca="1" si="370"/>
        <v>914138360.86130202</v>
      </c>
      <c r="BZ15" s="10">
        <f t="shared" ca="1" si="370"/>
        <v>1027432675.6609606</v>
      </c>
      <c r="CA15" s="10">
        <f t="shared" ca="1" si="370"/>
        <v>1154015319.106849</v>
      </c>
      <c r="CB15" s="10">
        <f t="shared" ca="1" si="370"/>
        <v>1295363792.1313896</v>
      </c>
      <c r="CC15" s="10">
        <f t="shared" ca="1" si="370"/>
        <v>1453111605.0012903</v>
      </c>
      <c r="CD15" s="10">
        <f t="shared" ca="1" si="370"/>
        <v>1629063949.7405879</v>
      </c>
      <c r="CE15" s="10">
        <f t="shared" ca="1" si="370"/>
        <v>1825214873.2602143</v>
      </c>
      <c r="CF15" s="10">
        <f t="shared" ca="1" si="370"/>
        <v>2043766088.4222922</v>
      </c>
      <c r="CG15" s="10">
        <f t="shared" ca="1" si="370"/>
        <v>2287147572.2729473</v>
      </c>
      <c r="CH15" s="10">
        <f t="shared" ca="1" si="370"/>
        <v>2558040113.6898208</v>
      </c>
      <c r="CI15" s="10">
        <f t="shared" ca="1" si="370"/>
        <v>2859399986.7906103</v>
      </c>
      <c r="CJ15" s="10">
        <f t="shared" ca="1" si="370"/>
        <v>3194485941.7243042</v>
      </c>
      <c r="CK15" s="10">
        <f t="shared" ca="1" si="370"/>
        <v>3566888721.011137</v>
      </c>
      <c r="CL15" s="10">
        <f t="shared" ca="1" si="370"/>
        <v>3980563327.5124745</v>
      </c>
      <c r="CM15" s="10">
        <f t="shared" ca="1" si="370"/>
        <v>4439864289.5063992</v>
      </c>
      <c r="CN15" s="10">
        <f t="shared" ca="1" si="370"/>
        <v>4949584189.3366261</v>
      </c>
      <c r="CO15" s="10">
        <f t="shared" ca="1" si="370"/>
        <v>5514995744.8177347</v>
      </c>
      <c r="CP15" s="10">
        <f t="shared" ca="1" si="370"/>
        <v>6141897757.1548729</v>
      </c>
      <c r="CQ15" s="10">
        <f t="shared" ca="1" si="370"/>
        <v>6836665265.7171774</v>
      </c>
      <c r="CR15" s="10">
        <f t="shared" ca="1" si="370"/>
        <v>7606304278.7492771</v>
      </c>
      <c r="CS15" s="10">
        <f t="shared" ca="1" si="370"/>
        <v>8458511480.1832409</v>
      </c>
      <c r="CT15" s="10">
        <f t="shared" ca="1" si="370"/>
        <v>9401739346.3070259</v>
      </c>
      <c r="CU15" s="10">
        <f t="shared" ca="1" si="370"/>
        <v>10445267142.350649</v>
      </c>
      <c r="CV15" s="10">
        <f t="shared" ca="1" si="370"/>
        <v>11599278308.278618</v>
      </c>
      <c r="CW15" s="10">
        <f t="shared" ca="1" si="370"/>
        <v>12874944785.453451</v>
      </c>
      <c r="CX15" s="10">
        <f t="shared" ref="CX15:EP15" ca="1" si="371">CW14*CX3</f>
        <v>14284518881.603279</v>
      </c>
      <c r="CY15" s="10">
        <f t="shared" ca="1" si="371"/>
        <v>15841433320.94924</v>
      </c>
      <c r="CZ15" s="10">
        <f t="shared" ca="1" si="371"/>
        <v>17560410179.705338</v>
      </c>
      <c r="DA15" s="10">
        <f t="shared" ca="1" si="371"/>
        <v>19457579464.757858</v>
      </c>
      <c r="DB15" s="10">
        <f t="shared" ca="1" si="371"/>
        <v>21550608155.487148</v>
      </c>
      <c r="DC15" s="10">
        <f t="shared" ca="1" si="371"/>
        <v>23858840595.759663</v>
      </c>
      <c r="DD15" s="10">
        <f t="shared" ca="1" si="371"/>
        <v>26403451195.467247</v>
      </c>
      <c r="DE15" s="10">
        <f t="shared" ca="1" si="371"/>
        <v>29207610479.024143</v>
      </c>
      <c r="DF15" s="10">
        <f t="shared" ca="1" si="371"/>
        <v>32296665602.383278</v>
      </c>
      <c r="DG15" s="10">
        <f t="shared" ca="1" si="371"/>
        <v>35698336550.860847</v>
      </c>
      <c r="DH15" s="10">
        <f t="shared" ca="1" si="371"/>
        <v>39442929327.862862</v>
      </c>
      <c r="DI15" s="10">
        <f t="shared" ca="1" si="371"/>
        <v>43563567550.018341</v>
      </c>
      <c r="DJ15" s="10">
        <f t="shared" ca="1" si="371"/>
        <v>48096443977.812889</v>
      </c>
      <c r="DK15" s="10">
        <f t="shared" ca="1" si="371"/>
        <v>53081093633.198837</v>
      </c>
      <c r="DL15" s="10">
        <f t="shared" ca="1" si="371"/>
        <v>58560690287.486855</v>
      </c>
      <c r="DM15" s="10">
        <f t="shared" ca="1" si="371"/>
        <v>64582368244.807297</v>
      </c>
      <c r="DN15" s="10">
        <f t="shared" ca="1" si="371"/>
        <v>71197571499.320984</v>
      </c>
      <c r="DO15" s="10">
        <f t="shared" ca="1" si="371"/>
        <v>78462432508.966568</v>
      </c>
      <c r="DP15" s="10">
        <f t="shared" ca="1" si="371"/>
        <v>86438183005.731491</v>
      </c>
      <c r="DQ15" s="10">
        <f t="shared" ca="1" si="371"/>
        <v>95191599453.138458</v>
      </c>
      <c r="DR15" s="10">
        <f t="shared" ca="1" si="371"/>
        <v>104795485966.87044</v>
      </c>
      <c r="DS15" s="10">
        <f t="shared" ca="1" si="371"/>
        <v>115329197735.25534</v>
      </c>
      <c r="DT15" s="10">
        <f t="shared" ca="1" si="371"/>
        <v>126879208213.86487</v>
      </c>
      <c r="DU15" s="10">
        <f t="shared" ca="1" si="371"/>
        <v>139539723623.9556</v>
      </c>
      <c r="DV15" s="10">
        <f t="shared" ca="1" si="371"/>
        <v>153413348559.22076</v>
      </c>
      <c r="DW15" s="10">
        <f t="shared" ca="1" si="371"/>
        <v>168611806800.72354</v>
      </c>
      <c r="DX15" s="10">
        <f t="shared" ca="1" si="371"/>
        <v>185256721757.45352</v>
      </c>
      <c r="DY15" s="10">
        <f t="shared" ca="1" si="371"/>
        <v>203480461291.30496</v>
      </c>
      <c r="DZ15" s="10">
        <f t="shared" ca="1" si="371"/>
        <v>223427052052.12302</v>
      </c>
      <c r="EA15" s="10">
        <f t="shared" ca="1" si="371"/>
        <v>245253168842.66565</v>
      </c>
      <c r="EB15" s="10">
        <f t="shared" ca="1" si="371"/>
        <v>269129204956.85489</v>
      </c>
      <c r="EC15" s="10">
        <f t="shared" ca="1" si="371"/>
        <v>295240429889.62872</v>
      </c>
      <c r="ED15" s="10">
        <f t="shared" ca="1" si="371"/>
        <v>323788241305.35724</v>
      </c>
      <c r="EE15" s="10">
        <f t="shared" ca="1" si="371"/>
        <v>354991518676.52222</v>
      </c>
      <c r="EF15" s="10">
        <f t="shared" ca="1" si="371"/>
        <v>389088086567.79486</v>
      </c>
      <c r="EG15" s="10">
        <f t="shared" ca="1" si="371"/>
        <v>426336296145.53448</v>
      </c>
      <c r="EH15" s="10">
        <f t="shared" ca="1" si="371"/>
        <v>467016734142.02057</v>
      </c>
      <c r="EI15" s="10">
        <f t="shared" ca="1" si="371"/>
        <v>511434069200.58093</v>
      </c>
      <c r="EJ15" s="10">
        <f t="shared" ca="1" si="371"/>
        <v>559919046275.59497</v>
      </c>
      <c r="EK15" s="10">
        <f t="shared" ca="1" si="371"/>
        <v>612830640563.67566</v>
      </c>
      <c r="EL15" s="10">
        <f t="shared" ca="1" si="371"/>
        <v>670558383303.1095</v>
      </c>
      <c r="EM15" s="10">
        <f t="shared" ca="1" si="371"/>
        <v>733524872701.91321</v>
      </c>
      <c r="EN15" s="10">
        <f t="shared" ca="1" si="371"/>
        <v>802188484245.08777</v>
      </c>
      <c r="EO15" s="10">
        <f t="shared" ca="1" si="371"/>
        <v>877046295693.48914</v>
      </c>
      <c r="EP15" s="10">
        <f t="shared" ca="1" si="371"/>
        <v>958637243225.3009</v>
      </c>
      <c r="EQ15" s="10">
        <f t="shared" ref="EQ15:EU15" ca="1" si="372">EP14*EQ3</f>
        <v>1047545526391.5959</v>
      </c>
      <c r="ER15" s="10">
        <f t="shared" ca="1" si="372"/>
        <v>1144404280865.8264</v>
      </c>
      <c r="ES15" s="10">
        <f t="shared" ca="1" si="372"/>
        <v>1249899539369.2876</v>
      </c>
      <c r="ET15" s="10">
        <f t="shared" ca="1" si="372"/>
        <v>1364774502657.2043</v>
      </c>
      <c r="EU15" s="10">
        <f t="shared" ca="1" si="372"/>
        <v>1489834144060.1726</v>
      </c>
    </row>
    <row r="16" spans="1:151" ht="15">
      <c r="A16" s="14">
        <f t="shared" ref="A16:A17" si="373">A15+1</f>
        <v>2</v>
      </c>
      <c r="B16" s="23">
        <f t="shared" ca="1" si="368"/>
        <v>776.67043267422798</v>
      </c>
      <c r="C16" s="10">
        <f t="shared" ref="C16:R17" ca="1" si="374">B15*C4</f>
        <v>644.75216981323911</v>
      </c>
      <c r="D16" s="10">
        <f t="shared" ca="1" si="374"/>
        <v>221.21244885219085</v>
      </c>
      <c r="E16" s="10">
        <f t="shared" ca="1" si="374"/>
        <v>1833.9215929992404</v>
      </c>
      <c r="F16" s="10">
        <f t="shared" ca="1" si="374"/>
        <v>2283.5366214973174</v>
      </c>
      <c r="G16" s="10">
        <f t="shared" ca="1" si="374"/>
        <v>3108.8982770381167</v>
      </c>
      <c r="H16" s="10">
        <f t="shared" ca="1" si="374"/>
        <v>4476.6762082726382</v>
      </c>
      <c r="I16" s="10">
        <f t="shared" ca="1" si="374"/>
        <v>6490.4349650814911</v>
      </c>
      <c r="J16" s="10">
        <f t="shared" ca="1" si="374"/>
        <v>8651.7864019786412</v>
      </c>
      <c r="K16" s="10">
        <f t="shared" ca="1" si="374"/>
        <v>11625.706671012247</v>
      </c>
      <c r="L16" s="10">
        <f t="shared" ca="1" si="374"/>
        <v>15491.811026744926</v>
      </c>
      <c r="M16" s="10">
        <f t="shared" ca="1" si="374"/>
        <v>20352.275312569189</v>
      </c>
      <c r="N16" s="10">
        <f t="shared" ca="1" si="374"/>
        <v>26385.808409369514</v>
      </c>
      <c r="O16" s="10">
        <f t="shared" ca="1" si="374"/>
        <v>34002.900120792227</v>
      </c>
      <c r="P16" s="10">
        <f t="shared" ca="1" si="374"/>
        <v>43462.569050619146</v>
      </c>
      <c r="Q16" s="10">
        <f t="shared" ca="1" si="374"/>
        <v>55128.809962338222</v>
      </c>
      <c r="R16" s="10">
        <f t="shared" ca="1" si="374"/>
        <v>69470.27271676129</v>
      </c>
      <c r="S16" s="10">
        <f t="shared" ca="1" si="369"/>
        <v>87043.725901579717</v>
      </c>
      <c r="T16" s="10">
        <f t="shared" ca="1" si="369"/>
        <v>108452.29167087097</v>
      </c>
      <c r="U16" s="10">
        <f t="shared" ca="1" si="369"/>
        <v>134435.56234368874</v>
      </c>
      <c r="V16" s="10">
        <f t="shared" ca="1" si="369"/>
        <v>165863.71413442268</v>
      </c>
      <c r="W16" s="10">
        <f t="shared" ca="1" si="369"/>
        <v>203744.10167345111</v>
      </c>
      <c r="X16" s="10">
        <f t="shared" ca="1" si="369"/>
        <v>249244.48139525059</v>
      </c>
      <c r="Y16" s="10">
        <f t="shared" ca="1" si="369"/>
        <v>303733.71939618117</v>
      </c>
      <c r="Z16" s="10">
        <f t="shared" ca="1" si="369"/>
        <v>368798.58239284117</v>
      </c>
      <c r="AA16" s="10">
        <f t="shared" ca="1" si="369"/>
        <v>446274.98903414933</v>
      </c>
      <c r="AB16" s="10">
        <f t="shared" ca="1" si="369"/>
        <v>538287.72221553372</v>
      </c>
      <c r="AC16" s="10">
        <f t="shared" ca="1" si="369"/>
        <v>647293.11895971023</v>
      </c>
      <c r="AD16" s="10">
        <f t="shared" ca="1" si="369"/>
        <v>776122.12363372825</v>
      </c>
      <c r="AE16" s="10">
        <f t="shared" ca="1" si="369"/>
        <v>928033.98558556498</v>
      </c>
      <c r="AF16" s="10">
        <f t="shared" ca="1" si="369"/>
        <v>1106776.6022103045</v>
      </c>
      <c r="AG16" s="10">
        <f t="shared" ca="1" si="369"/>
        <v>1316653.0840389805</v>
      </c>
      <c r="AH16" s="10">
        <f t="shared" ca="1" si="369"/>
        <v>1562596.544899364</v>
      </c>
      <c r="AI16" s="10">
        <f t="shared" ca="1" si="369"/>
        <v>1850255.6227650375</v>
      </c>
      <c r="AJ16" s="10">
        <f t="shared" ca="1" si="369"/>
        <v>2186090.052701869</v>
      </c>
      <c r="AK16" s="10">
        <f t="shared" ca="1" si="369"/>
        <v>2577477.7422753111</v>
      </c>
      <c r="AL16" s="10">
        <f t="shared" ca="1" si="369"/>
        <v>3032835.2269977191</v>
      </c>
      <c r="AM16" s="10">
        <f t="shared" ca="1" si="369"/>
        <v>3561752.9918484497</v>
      </c>
      <c r="AN16" s="10">
        <f t="shared" ca="1" si="369"/>
        <v>4175146.8911973825</v>
      </c>
      <c r="AO16" s="10">
        <f t="shared" ca="1" si="369"/>
        <v>4885427.7486340581</v>
      </c>
      <c r="AP16" s="10">
        <f t="shared" ca="1" si="369"/>
        <v>5706691.2615484577</v>
      </c>
      <c r="AQ16" s="10">
        <f t="shared" ca="1" si="369"/>
        <v>6654930.3623179682</v>
      </c>
      <c r="AR16" s="10">
        <f t="shared" ca="1" si="369"/>
        <v>7748272.4697824381</v>
      </c>
      <c r="AS16" s="10">
        <f t="shared" ca="1" si="369"/>
        <v>9007244.4666650239</v>
      </c>
      <c r="AT16" s="10">
        <f t="shared" ca="1" si="369"/>
        <v>10455068.420154883</v>
      </c>
      <c r="AU16" s="10">
        <f t="shared" ca="1" si="369"/>
        <v>12117991.353381116</v>
      </c>
      <c r="AV16" s="10">
        <f t="shared" ca="1" si="369"/>
        <v>14025652.75975721</v>
      </c>
      <c r="AW16" s="10">
        <f t="shared" ca="1" si="369"/>
        <v>16211493.938943941</v>
      </c>
      <c r="AX16" s="10">
        <f t="shared" ca="1" si="369"/>
        <v>18713213.610981204</v>
      </c>
      <c r="AY16" s="10">
        <f t="shared" ca="1" si="369"/>
        <v>21573274.724382747</v>
      </c>
      <c r="AZ16" s="10">
        <f t="shared" ref="AZ16:CW16" ca="1" si="375">AY15*AZ4</f>
        <v>24839467.879341491</v>
      </c>
      <c r="BA16" s="10">
        <f t="shared" ca="1" si="375"/>
        <v>28565537.322632194</v>
      </c>
      <c r="BB16" s="10">
        <f t="shared" ca="1" si="375"/>
        <v>32811876.056174606</v>
      </c>
      <c r="BC16" s="10">
        <f t="shared" ca="1" si="375"/>
        <v>37646297.254350819</v>
      </c>
      <c r="BD16" s="10">
        <f t="shared" ca="1" si="375"/>
        <v>43144889.894450106</v>
      </c>
      <c r="BE16" s="10">
        <f t="shared" ca="1" si="375"/>
        <v>49392967.276242658</v>
      </c>
      <c r="BF16" s="10">
        <f t="shared" ca="1" si="375"/>
        <v>56486117.952900544</v>
      </c>
      <c r="BG16" s="10">
        <f t="shared" ca="1" si="375"/>
        <v>64531369.521976128</v>
      </c>
      <c r="BH16" s="10">
        <f t="shared" ca="1" si="375"/>
        <v>73648476.734661266</v>
      </c>
      <c r="BI16" s="10">
        <f t="shared" ca="1" si="375"/>
        <v>83971346.483763039</v>
      </c>
      <c r="BJ16" s="10">
        <f t="shared" ca="1" si="375"/>
        <v>95649613.435004145</v>
      </c>
      <c r="BK16" s="10">
        <f t="shared" ca="1" si="375"/>
        <v>108850381.38003279</v>
      </c>
      <c r="BL16" s="10">
        <f t="shared" ca="1" si="375"/>
        <v>123760146.82196355</v>
      </c>
      <c r="BM16" s="10">
        <f t="shared" ca="1" si="375"/>
        <v>140586922.86655664</v>
      </c>
      <c r="BN16" s="10">
        <f t="shared" ca="1" si="375"/>
        <v>159562583.19541025</v>
      </c>
      <c r="BO16" s="10">
        <f t="shared" ca="1" si="375"/>
        <v>180945447.75348875</v>
      </c>
      <c r="BP16" s="10">
        <f t="shared" ca="1" si="375"/>
        <v>205023133.80515915</v>
      </c>
      <c r="BQ16" s="10">
        <f t="shared" ca="1" si="375"/>
        <v>232115698.21503317</v>
      </c>
      <c r="BR16" s="10">
        <f t="shared" ca="1" si="375"/>
        <v>262579099.20751059</v>
      </c>
      <c r="BS16" s="10">
        <f t="shared" ca="1" si="375"/>
        <v>296809008.46853244</v>
      </c>
      <c r="BT16" s="10">
        <f t="shared" ca="1" si="375"/>
        <v>335245007.29267967</v>
      </c>
      <c r="BU16" s="10">
        <f t="shared" ca="1" si="375"/>
        <v>378375203.5677889</v>
      </c>
      <c r="BV16" s="10">
        <f t="shared" ca="1" si="375"/>
        <v>426741309.74863195</v>
      </c>
      <c r="BW16" s="10">
        <f t="shared" ca="1" si="375"/>
        <v>480944225.6235218</v>
      </c>
      <c r="BX16" s="10">
        <f t="shared" ca="1" si="375"/>
        <v>541650173.64750314</v>
      </c>
      <c r="BY16" s="10">
        <f t="shared" ca="1" si="375"/>
        <v>609597438.92939639</v>
      </c>
      <c r="BZ16" s="10">
        <f t="shared" ca="1" si="375"/>
        <v>685603770.64597654</v>
      </c>
      <c r="CA16" s="10">
        <f t="shared" ca="1" si="375"/>
        <v>770574506.74572039</v>
      </c>
      <c r="CB16" s="10">
        <f t="shared" ca="1" si="375"/>
        <v>865511489.33013678</v>
      </c>
      <c r="CC16" s="10">
        <f t="shared" ca="1" si="375"/>
        <v>971522844.09854221</v>
      </c>
      <c r="CD16" s="10">
        <f t="shared" ca="1" si="375"/>
        <v>1089833703.7509677</v>
      </c>
      <c r="CE16" s="10">
        <f t="shared" ca="1" si="375"/>
        <v>1221797962.3054409</v>
      </c>
      <c r="CF16" s="10">
        <f t="shared" ca="1" si="375"/>
        <v>1368911154.9451609</v>
      </c>
      <c r="CG16" s="10">
        <f t="shared" ca="1" si="375"/>
        <v>1532824566.3167191</v>
      </c>
      <c r="CH16" s="10">
        <f t="shared" ca="1" si="375"/>
        <v>1715360679.2047105</v>
      </c>
      <c r="CI16" s="10">
        <f t="shared" ca="1" si="375"/>
        <v>1918530085.2673655</v>
      </c>
      <c r="CJ16" s="10">
        <f t="shared" ca="1" si="375"/>
        <v>2144549990.0929577</v>
      </c>
      <c r="CK16" s="10">
        <f t="shared" ca="1" si="375"/>
        <v>2395864456.2932281</v>
      </c>
      <c r="CL16" s="10">
        <f t="shared" ca="1" si="375"/>
        <v>2675166540.7583528</v>
      </c>
      <c r="CM16" s="10">
        <f t="shared" ca="1" si="375"/>
        <v>2985422495.634356</v>
      </c>
      <c r="CN16" s="10">
        <f t="shared" ca="1" si="375"/>
        <v>3329898217.1297994</v>
      </c>
      <c r="CO16" s="10">
        <f t="shared" ca="1" si="375"/>
        <v>3712188142.0024695</v>
      </c>
      <c r="CP16" s="10">
        <f t="shared" ca="1" si="375"/>
        <v>4136246808.6133013</v>
      </c>
      <c r="CQ16" s="10">
        <f t="shared" ca="1" si="375"/>
        <v>4606423317.8661547</v>
      </c>
      <c r="CR16" s="10">
        <f t="shared" ca="1" si="375"/>
        <v>5127498949.2878828</v>
      </c>
      <c r="CS16" s="10">
        <f t="shared" ca="1" si="375"/>
        <v>5704728209.0619583</v>
      </c>
      <c r="CT16" s="10">
        <f t="shared" ca="1" si="375"/>
        <v>6343883610.1374302</v>
      </c>
      <c r="CU16" s="10">
        <f t="shared" ca="1" si="375"/>
        <v>7051304509.7302694</v>
      </c>
      <c r="CV16" s="10">
        <f t="shared" ca="1" si="375"/>
        <v>7833950356.7629871</v>
      </c>
      <c r="CW16" s="10">
        <f t="shared" ca="1" si="375"/>
        <v>8699458731.2089634</v>
      </c>
      <c r="CX16" s="10">
        <f t="shared" ref="CX16:EP16" ca="1" si="376">CW15*CX4</f>
        <v>9656208589.0900879</v>
      </c>
      <c r="CY16" s="10">
        <f t="shared" ca="1" si="376"/>
        <v>10713389161.202459</v>
      </c>
      <c r="CZ16" s="10">
        <f t="shared" ca="1" si="376"/>
        <v>11881074990.711929</v>
      </c>
      <c r="DA16" s="10">
        <f t="shared" ca="1" si="376"/>
        <v>13170307634.779003</v>
      </c>
      <c r="DB16" s="10">
        <f t="shared" ca="1" si="376"/>
        <v>14593184598.568394</v>
      </c>
      <c r="DC16" s="10">
        <f t="shared" ca="1" si="376"/>
        <v>16162956116.61536</v>
      </c>
      <c r="DD16" s="10">
        <f t="shared" ca="1" si="376"/>
        <v>17894130446.819748</v>
      </c>
      <c r="DE16" s="10">
        <f t="shared" ca="1" si="376"/>
        <v>19802588396.600433</v>
      </c>
      <c r="DF16" s="10">
        <f t="shared" ca="1" si="376"/>
        <v>21905707859.268108</v>
      </c>
      <c r="DG16" s="10">
        <f t="shared" ca="1" si="376"/>
        <v>24222499201.78746</v>
      </c>
      <c r="DH16" s="10">
        <f t="shared" ca="1" si="376"/>
        <v>26773752413.145638</v>
      </c>
      <c r="DI16" s="10">
        <f t="shared" ca="1" si="376"/>
        <v>29582196995.897148</v>
      </c>
      <c r="DJ16" s="10">
        <f t="shared" ca="1" si="376"/>
        <v>32672675662.513756</v>
      </c>
      <c r="DK16" s="10">
        <f t="shared" ca="1" si="376"/>
        <v>36072332983.359665</v>
      </c>
      <c r="DL16" s="10">
        <f t="shared" ca="1" si="376"/>
        <v>39810820224.899124</v>
      </c>
      <c r="DM16" s="10">
        <f t="shared" ca="1" si="376"/>
        <v>43920517715.615143</v>
      </c>
      <c r="DN16" s="10">
        <f t="shared" ca="1" si="376"/>
        <v>48436776183.605469</v>
      </c>
      <c r="DO16" s="10">
        <f t="shared" ca="1" si="376"/>
        <v>53398178624.490738</v>
      </c>
      <c r="DP16" s="10">
        <f t="shared" ca="1" si="376"/>
        <v>58846824381.72493</v>
      </c>
      <c r="DQ16" s="10">
        <f t="shared" ca="1" si="376"/>
        <v>64828637254.298615</v>
      </c>
      <c r="DR16" s="10">
        <f t="shared" ca="1" si="376"/>
        <v>71393699589.853851</v>
      </c>
      <c r="DS16" s="10">
        <f t="shared" ca="1" si="376"/>
        <v>78596614475.152832</v>
      </c>
      <c r="DT16" s="10">
        <f t="shared" ca="1" si="376"/>
        <v>86496898301.441498</v>
      </c>
      <c r="DU16" s="10">
        <f t="shared" ca="1" si="376"/>
        <v>95159406160.398651</v>
      </c>
      <c r="DV16" s="10">
        <f t="shared" ca="1" si="376"/>
        <v>104654792717.96671</v>
      </c>
      <c r="DW16" s="10">
        <f t="shared" ca="1" si="376"/>
        <v>115060011419.41557</v>
      </c>
      <c r="DX16" s="10">
        <f t="shared" ca="1" si="376"/>
        <v>126458855100.54266</v>
      </c>
      <c r="DY16" s="10">
        <f t="shared" ca="1" si="376"/>
        <v>138942541318.09015</v>
      </c>
      <c r="DZ16" s="10">
        <f t="shared" ca="1" si="376"/>
        <v>152610345968.47873</v>
      </c>
      <c r="EA16" s="10">
        <f t="shared" ca="1" si="376"/>
        <v>167570289039.09225</v>
      </c>
      <c r="EB16" s="10">
        <f t="shared" ca="1" si="376"/>
        <v>183939876631.99924</v>
      </c>
      <c r="EC16" s="10">
        <f t="shared" ca="1" si="376"/>
        <v>201846903717.64117</v>
      </c>
      <c r="ED16" s="10">
        <f t="shared" ca="1" si="376"/>
        <v>221430322417.22156</v>
      </c>
      <c r="EE16" s="10">
        <f t="shared" ca="1" si="376"/>
        <v>242841180979.01794</v>
      </c>
      <c r="EF16" s="10">
        <f t="shared" ca="1" si="376"/>
        <v>266243639007.39166</v>
      </c>
      <c r="EG16" s="10">
        <f t="shared" ca="1" si="376"/>
        <v>291816064925.84613</v>
      </c>
      <c r="EH16" s="10">
        <f t="shared" ca="1" si="376"/>
        <v>319752222109.15088</v>
      </c>
      <c r="EI16" s="10">
        <f t="shared" ca="1" si="376"/>
        <v>350262550606.51544</v>
      </c>
      <c r="EJ16" s="10">
        <f t="shared" ca="1" si="376"/>
        <v>383575551900.43567</v>
      </c>
      <c r="EK16" s="10">
        <f t="shared" ca="1" si="376"/>
        <v>419939284706.69623</v>
      </c>
      <c r="EL16" s="10">
        <f t="shared" ca="1" si="376"/>
        <v>459622980422.75671</v>
      </c>
      <c r="EM16" s="10">
        <f t="shared" ca="1" si="376"/>
        <v>502918787477.33215</v>
      </c>
      <c r="EN16" s="10">
        <f t="shared" ca="1" si="376"/>
        <v>550143654526.43494</v>
      </c>
      <c r="EO16" s="10">
        <f t="shared" ca="1" si="376"/>
        <v>601641363183.8158</v>
      </c>
      <c r="EP16" s="10">
        <f t="shared" ca="1" si="376"/>
        <v>657784721770.11682</v>
      </c>
      <c r="EQ16" s="10">
        <f t="shared" ref="EQ16:EU16" ca="1" si="377">EP15*EQ4</f>
        <v>718977932418.97571</v>
      </c>
      <c r="ER16" s="10">
        <f t="shared" ca="1" si="377"/>
        <v>785659144793.69702</v>
      </c>
      <c r="ES16" s="10">
        <f t="shared" ca="1" si="377"/>
        <v>858303210649.36987</v>
      </c>
      <c r="ET16" s="10">
        <f t="shared" ca="1" si="377"/>
        <v>937424654526.9657</v>
      </c>
      <c r="EU16" s="10">
        <f t="shared" ca="1" si="377"/>
        <v>1023580876992.9033</v>
      </c>
    </row>
    <row r="17" spans="1:151" ht="15">
      <c r="A17" s="14">
        <f t="shared" si="373"/>
        <v>3</v>
      </c>
      <c r="B17" s="23">
        <f t="shared" ca="1" si="368"/>
        <v>325.59158480514816</v>
      </c>
      <c r="C17" s="10">
        <f t="shared" ca="1" si="374"/>
        <v>388.33521633711399</v>
      </c>
      <c r="D17" s="10">
        <f t="shared" ca="1" si="369"/>
        <v>322.37608490661955</v>
      </c>
      <c r="E17" s="10">
        <f t="shared" ca="1" si="369"/>
        <v>110.60622442609542</v>
      </c>
      <c r="F17" s="10">
        <f t="shared" ca="1" si="369"/>
        <v>916.96079649962019</v>
      </c>
      <c r="G17" s="10">
        <f t="shared" ca="1" si="369"/>
        <v>1141.7683107486587</v>
      </c>
      <c r="H17" s="10">
        <f t="shared" ca="1" si="369"/>
        <v>1554.4491385190584</v>
      </c>
      <c r="I17" s="10">
        <f t="shared" ca="1" si="369"/>
        <v>2238.3381041363191</v>
      </c>
      <c r="J17" s="10">
        <f t="shared" ca="1" si="369"/>
        <v>3245.2174825407456</v>
      </c>
      <c r="K17" s="10">
        <f t="shared" ca="1" si="369"/>
        <v>4325.8932009893206</v>
      </c>
      <c r="L17" s="10">
        <f t="shared" ca="1" si="369"/>
        <v>5812.8533355061236</v>
      </c>
      <c r="M17" s="10">
        <f t="shared" ca="1" si="369"/>
        <v>7745.9055133724632</v>
      </c>
      <c r="N17" s="10">
        <f t="shared" ca="1" si="369"/>
        <v>10176.137656284594</v>
      </c>
      <c r="O17" s="10">
        <f t="shared" ca="1" si="369"/>
        <v>13192.904204684757</v>
      </c>
      <c r="P17" s="10">
        <f t="shared" ca="1" si="369"/>
        <v>17001.450060396113</v>
      </c>
      <c r="Q17" s="10">
        <f t="shared" ca="1" si="369"/>
        <v>21731.284525309573</v>
      </c>
      <c r="R17" s="10">
        <f t="shared" ca="1" si="369"/>
        <v>27564.404981169111</v>
      </c>
      <c r="S17" s="10">
        <f t="shared" ca="1" si="369"/>
        <v>34735.136358380645</v>
      </c>
      <c r="T17" s="10">
        <f t="shared" ca="1" si="369"/>
        <v>43521.862950789859</v>
      </c>
      <c r="U17" s="10">
        <f t="shared" ca="1" si="369"/>
        <v>54226.145835435484</v>
      </c>
      <c r="V17" s="10">
        <f t="shared" ca="1" si="369"/>
        <v>67217.78117184437</v>
      </c>
      <c r="W17" s="10">
        <f t="shared" ca="1" si="369"/>
        <v>82931.857067211342</v>
      </c>
      <c r="X17" s="10">
        <f t="shared" ca="1" si="369"/>
        <v>101872.05083672555</v>
      </c>
      <c r="Y17" s="10">
        <f t="shared" ca="1" si="369"/>
        <v>124622.2406976253</v>
      </c>
      <c r="Z17" s="10">
        <f t="shared" ca="1" si="369"/>
        <v>151866.85969809059</v>
      </c>
      <c r="AA17" s="10">
        <f t="shared" ca="1" si="369"/>
        <v>184399.29119642059</v>
      </c>
      <c r="AB17" s="10">
        <f t="shared" ca="1" si="369"/>
        <v>223137.49451707467</v>
      </c>
      <c r="AC17" s="10">
        <f t="shared" ca="1" si="369"/>
        <v>269143.86110776686</v>
      </c>
      <c r="AD17" s="10">
        <f t="shared" ca="1" si="369"/>
        <v>323646.55947985512</v>
      </c>
      <c r="AE17" s="10">
        <f t="shared" ca="1" si="369"/>
        <v>388061.06181686412</v>
      </c>
      <c r="AF17" s="10">
        <f t="shared" ca="1" si="369"/>
        <v>464016.99279278249</v>
      </c>
      <c r="AG17" s="10">
        <f t="shared" ca="1" si="369"/>
        <v>553388.30110515223</v>
      </c>
      <c r="AH17" s="10">
        <f t="shared" ca="1" si="369"/>
        <v>658326.54201949027</v>
      </c>
      <c r="AI17" s="10">
        <f t="shared" ca="1" si="369"/>
        <v>781298.272449682</v>
      </c>
      <c r="AJ17" s="10">
        <f t="shared" ca="1" si="369"/>
        <v>925127.81138251873</v>
      </c>
      <c r="AK17" s="10">
        <f t="shared" ca="1" si="369"/>
        <v>1093045.0263509345</v>
      </c>
      <c r="AL17" s="10">
        <f t="shared" ca="1" si="369"/>
        <v>1288738.8711376556</v>
      </c>
      <c r="AM17" s="10">
        <f t="shared" ca="1" si="369"/>
        <v>1516417.6134988596</v>
      </c>
      <c r="AN17" s="10">
        <f t="shared" ca="1" si="369"/>
        <v>1780876.4959242248</v>
      </c>
      <c r="AO17" s="10">
        <f t="shared" ca="1" si="369"/>
        <v>2087573.4455986912</v>
      </c>
      <c r="AP17" s="10">
        <f t="shared" ca="1" si="369"/>
        <v>2442713.874317029</v>
      </c>
      <c r="AQ17" s="10">
        <f t="shared" ca="1" si="369"/>
        <v>2853345.6307742288</v>
      </c>
      <c r="AR17" s="10">
        <f t="shared" ca="1" si="369"/>
        <v>3327465.1811589841</v>
      </c>
      <c r="AS17" s="10">
        <f t="shared" ca="1" si="369"/>
        <v>3874136.2348912191</v>
      </c>
      <c r="AT17" s="10">
        <f t="shared" ca="1" si="369"/>
        <v>4503622.233332512</v>
      </c>
      <c r="AU17" s="10">
        <f t="shared" ca="1" si="369"/>
        <v>5227534.2100774413</v>
      </c>
      <c r="AV17" s="10">
        <f t="shared" ca="1" si="369"/>
        <v>6058995.676690558</v>
      </c>
      <c r="AW17" s="10">
        <f t="shared" ca="1" si="369"/>
        <v>7012826.3798786048</v>
      </c>
      <c r="AX17" s="10">
        <f t="shared" ca="1" si="369"/>
        <v>8105746.9694719706</v>
      </c>
      <c r="AY17" s="10">
        <f t="shared" ca="1" si="369"/>
        <v>9356606.8054906018</v>
      </c>
      <c r="AZ17" s="10">
        <f t="shared" ref="AZ17:CW17" ca="1" si="378">AY16*AZ5</f>
        <v>10786637.362191373</v>
      </c>
      <c r="BA17" s="10">
        <f t="shared" ca="1" si="378"/>
        <v>12419733.939670745</v>
      </c>
      <c r="BB17" s="10">
        <f t="shared" ca="1" si="378"/>
        <v>14282768.661316097</v>
      </c>
      <c r="BC17" s="10">
        <f t="shared" ca="1" si="378"/>
        <v>16405938.028087303</v>
      </c>
      <c r="BD17" s="10">
        <f t="shared" ca="1" si="378"/>
        <v>18823148.627175409</v>
      </c>
      <c r="BE17" s="10">
        <f t="shared" ca="1" si="378"/>
        <v>21572444.947225053</v>
      </c>
      <c r="BF17" s="10">
        <f t="shared" ca="1" si="378"/>
        <v>24696483.638121329</v>
      </c>
      <c r="BG17" s="10">
        <f t="shared" ca="1" si="378"/>
        <v>28243058.976450272</v>
      </c>
      <c r="BH17" s="10">
        <f t="shared" ca="1" si="378"/>
        <v>32265684.760988064</v>
      </c>
      <c r="BI17" s="10">
        <f t="shared" ca="1" si="378"/>
        <v>36824238.367330633</v>
      </c>
      <c r="BJ17" s="10">
        <f t="shared" ca="1" si="378"/>
        <v>41985673.24188152</v>
      </c>
      <c r="BK17" s="10">
        <f t="shared" ca="1" si="378"/>
        <v>47824806.717502072</v>
      </c>
      <c r="BL17" s="10">
        <f t="shared" ca="1" si="378"/>
        <v>54425190.690016396</v>
      </c>
      <c r="BM17" s="10">
        <f t="shared" ca="1" si="378"/>
        <v>61880073.410981774</v>
      </c>
      <c r="BN17" s="10">
        <f t="shared" ca="1" si="378"/>
        <v>70293461.433278322</v>
      </c>
      <c r="BO17" s="10">
        <f t="shared" ca="1" si="378"/>
        <v>79781291.597705126</v>
      </c>
      <c r="BP17" s="10">
        <f t="shared" ca="1" si="378"/>
        <v>90472723.876744375</v>
      </c>
      <c r="BQ17" s="10">
        <f t="shared" ca="1" si="378"/>
        <v>102511566.90257958</v>
      </c>
      <c r="BR17" s="10">
        <f t="shared" ca="1" si="378"/>
        <v>116057849.10751659</v>
      </c>
      <c r="BS17" s="10">
        <f t="shared" ca="1" si="378"/>
        <v>131289549.6037553</v>
      </c>
      <c r="BT17" s="10">
        <f t="shared" ca="1" si="378"/>
        <v>148404504.23426622</v>
      </c>
      <c r="BU17" s="10">
        <f t="shared" ca="1" si="378"/>
        <v>167622503.64633983</v>
      </c>
      <c r="BV17" s="10">
        <f t="shared" ca="1" si="378"/>
        <v>189187601.78389445</v>
      </c>
      <c r="BW17" s="10">
        <f t="shared" ca="1" si="378"/>
        <v>213370654.87431598</v>
      </c>
      <c r="BX17" s="10">
        <f t="shared" ca="1" si="378"/>
        <v>240472112.8117609</v>
      </c>
      <c r="BY17" s="10">
        <f t="shared" ca="1" si="378"/>
        <v>270825086.82375157</v>
      </c>
      <c r="BZ17" s="10">
        <f t="shared" ca="1" si="378"/>
        <v>304798719.4646982</v>
      </c>
      <c r="CA17" s="10">
        <f t="shared" ca="1" si="378"/>
        <v>342801885.32298827</v>
      </c>
      <c r="CB17" s="10">
        <f t="shared" ca="1" si="378"/>
        <v>385287253.37286019</v>
      </c>
      <c r="CC17" s="10">
        <f t="shared" ca="1" si="378"/>
        <v>432755744.66506839</v>
      </c>
      <c r="CD17" s="10">
        <f t="shared" ca="1" si="378"/>
        <v>485761422.04927111</v>
      </c>
      <c r="CE17" s="10">
        <f t="shared" ca="1" si="378"/>
        <v>544916851.87548387</v>
      </c>
      <c r="CF17" s="10">
        <f t="shared" ca="1" si="378"/>
        <v>610898981.15272045</v>
      </c>
      <c r="CG17" s="10">
        <f t="shared" ca="1" si="378"/>
        <v>684455577.47258043</v>
      </c>
      <c r="CH17" s="10">
        <f t="shared" ca="1" si="378"/>
        <v>766412283.15835953</v>
      </c>
      <c r="CI17" s="10">
        <f t="shared" ca="1" si="378"/>
        <v>857680339.60235524</v>
      </c>
      <c r="CJ17" s="10">
        <f t="shared" ca="1" si="378"/>
        <v>959265042.63368273</v>
      </c>
      <c r="CK17" s="10">
        <f t="shared" ca="1" si="378"/>
        <v>1072274995.0464789</v>
      </c>
      <c r="CL17" s="10">
        <f t="shared" ca="1" si="378"/>
        <v>1197932228.1466141</v>
      </c>
      <c r="CM17" s="10">
        <f t="shared" ca="1" si="378"/>
        <v>1337583270.3791764</v>
      </c>
      <c r="CN17" s="10">
        <f t="shared" ca="1" si="378"/>
        <v>1492711247.817178</v>
      </c>
      <c r="CO17" s="10">
        <f t="shared" ca="1" si="378"/>
        <v>1664949108.5648997</v>
      </c>
      <c r="CP17" s="10">
        <f t="shared" ca="1" si="378"/>
        <v>1856094071.0012348</v>
      </c>
      <c r="CQ17" s="10">
        <f t="shared" ca="1" si="378"/>
        <v>2068123404.3066506</v>
      </c>
      <c r="CR17" s="10">
        <f t="shared" ca="1" si="378"/>
        <v>2303211658.9330773</v>
      </c>
      <c r="CS17" s="10">
        <f t="shared" ca="1" si="378"/>
        <v>2563749474.6439414</v>
      </c>
      <c r="CT17" s="10">
        <f t="shared" ca="1" si="378"/>
        <v>2852364104.5309792</v>
      </c>
      <c r="CU17" s="10">
        <f t="shared" ca="1" si="378"/>
        <v>3171941805.0687151</v>
      </c>
      <c r="CV17" s="10">
        <f t="shared" ca="1" si="378"/>
        <v>3525652254.8651347</v>
      </c>
      <c r="CW17" s="10">
        <f t="shared" ca="1" si="378"/>
        <v>3916975178.3814936</v>
      </c>
      <c r="CX17" s="10">
        <f t="shared" ref="CX17:EP17" ca="1" si="379">CW16*CX5</f>
        <v>4349729365.6044817</v>
      </c>
      <c r="CY17" s="10">
        <f t="shared" ca="1" si="379"/>
        <v>4828104294.5450439</v>
      </c>
      <c r="CZ17" s="10">
        <f t="shared" ca="1" si="379"/>
        <v>5356694580.6012297</v>
      </c>
      <c r="DA17" s="10">
        <f t="shared" ca="1" si="379"/>
        <v>5940537495.3559647</v>
      </c>
      <c r="DB17" s="10">
        <f t="shared" ca="1" si="379"/>
        <v>6585153817.3895016</v>
      </c>
      <c r="DC17" s="10">
        <f t="shared" ca="1" si="379"/>
        <v>7296592299.2841969</v>
      </c>
      <c r="DD17" s="10">
        <f t="shared" ca="1" si="379"/>
        <v>8081478058.3076801</v>
      </c>
      <c r="DE17" s="10">
        <f t="shared" ca="1" si="379"/>
        <v>8947065223.409874</v>
      </c>
      <c r="DF17" s="10">
        <f t="shared" ca="1" si="379"/>
        <v>9901294198.3002167</v>
      </c>
      <c r="DG17" s="10">
        <f t="shared" ca="1" si="379"/>
        <v>10952853929.634054</v>
      </c>
      <c r="DH17" s="10">
        <f t="shared" ca="1" si="379"/>
        <v>12111249600.89373</v>
      </c>
      <c r="DI17" s="10">
        <f t="shared" ca="1" si="379"/>
        <v>13386876206.572819</v>
      </c>
      <c r="DJ17" s="10">
        <f t="shared" ca="1" si="379"/>
        <v>14791098497.948574</v>
      </c>
      <c r="DK17" s="10">
        <f t="shared" ca="1" si="379"/>
        <v>16336337831.256878</v>
      </c>
      <c r="DL17" s="10">
        <f t="shared" ca="1" si="379"/>
        <v>18036166491.679832</v>
      </c>
      <c r="DM17" s="10">
        <f t="shared" ca="1" si="379"/>
        <v>19905410112.449562</v>
      </c>
      <c r="DN17" s="10">
        <f t="shared" ca="1" si="379"/>
        <v>21960258857.807571</v>
      </c>
      <c r="DO17" s="10">
        <f t="shared" ca="1" si="379"/>
        <v>24218388091.802734</v>
      </c>
      <c r="DP17" s="10">
        <f t="shared" ca="1" si="379"/>
        <v>26699089312.245369</v>
      </c>
      <c r="DQ17" s="10">
        <f t="shared" ca="1" si="379"/>
        <v>29423412190.862465</v>
      </c>
      <c r="DR17" s="10">
        <f t="shared" ca="1" si="379"/>
        <v>32414318627.149307</v>
      </c>
      <c r="DS17" s="10">
        <f t="shared" ca="1" si="379"/>
        <v>35696849794.926926</v>
      </c>
      <c r="DT17" s="10">
        <f t="shared" ca="1" si="379"/>
        <v>39298307237.576416</v>
      </c>
      <c r="DU17" s="10">
        <f t="shared" ca="1" si="379"/>
        <v>43248449150.720749</v>
      </c>
      <c r="DV17" s="10">
        <f t="shared" ca="1" si="379"/>
        <v>47579703080.199326</v>
      </c>
      <c r="DW17" s="10">
        <f t="shared" ca="1" si="379"/>
        <v>52327396358.983353</v>
      </c>
      <c r="DX17" s="10">
        <f t="shared" ca="1" si="379"/>
        <v>57530005709.707787</v>
      </c>
      <c r="DY17" s="10">
        <f t="shared" ca="1" si="379"/>
        <v>63229427550.271332</v>
      </c>
      <c r="DZ17" s="10">
        <f t="shared" ca="1" si="379"/>
        <v>69471270659.045074</v>
      </c>
      <c r="EA17" s="10">
        <f t="shared" ca="1" si="379"/>
        <v>76305172984.239365</v>
      </c>
      <c r="EB17" s="10">
        <f t="shared" ca="1" si="379"/>
        <v>83785144519.546127</v>
      </c>
      <c r="EC17" s="10">
        <f t="shared" ca="1" si="379"/>
        <v>91969938315.999619</v>
      </c>
      <c r="ED17" s="10">
        <f t="shared" ca="1" si="379"/>
        <v>100923451858.82059</v>
      </c>
      <c r="EE17" s="10">
        <f t="shared" ca="1" si="379"/>
        <v>110715161208.61078</v>
      </c>
      <c r="EF17" s="10">
        <f t="shared" ca="1" si="379"/>
        <v>121420590489.50897</v>
      </c>
      <c r="EG17" s="10">
        <f t="shared" ca="1" si="379"/>
        <v>133121819503.69583</v>
      </c>
      <c r="EH17" s="10">
        <f t="shared" ca="1" si="379"/>
        <v>145908032462.92307</v>
      </c>
      <c r="EI17" s="10">
        <f t="shared" ca="1" si="379"/>
        <v>159876111054.57544</v>
      </c>
      <c r="EJ17" s="10">
        <f t="shared" ca="1" si="379"/>
        <v>175131275303.25772</v>
      </c>
      <c r="EK17" s="10">
        <f t="shared" ca="1" si="379"/>
        <v>191787775950.21783</v>
      </c>
      <c r="EL17" s="10">
        <f t="shared" ca="1" si="379"/>
        <v>209969642353.34811</v>
      </c>
      <c r="EM17" s="10">
        <f t="shared" ca="1" si="379"/>
        <v>229811490211.37836</v>
      </c>
      <c r="EN17" s="10">
        <f t="shared" ca="1" si="379"/>
        <v>251459393738.66608</v>
      </c>
      <c r="EO17" s="10">
        <f t="shared" ca="1" si="379"/>
        <v>275071827263.21747</v>
      </c>
      <c r="EP17" s="10">
        <f t="shared" ca="1" si="379"/>
        <v>300820681591.9079</v>
      </c>
      <c r="EQ17" s="10">
        <f t="shared" ref="EQ17:EU17" ca="1" si="380">EP16*EQ5</f>
        <v>328892360885.05841</v>
      </c>
      <c r="ER17" s="10">
        <f t="shared" ca="1" si="380"/>
        <v>359488966209.48785</v>
      </c>
      <c r="ES17" s="10">
        <f t="shared" ca="1" si="380"/>
        <v>392829572396.84851</v>
      </c>
      <c r="ET17" s="10">
        <f t="shared" ca="1" si="380"/>
        <v>429151605324.68494</v>
      </c>
      <c r="EU17" s="10">
        <f t="shared" ca="1" si="380"/>
        <v>468712327263.48285</v>
      </c>
    </row>
    <row r="18" spans="1:151" ht="15">
      <c r="A18" s="8" t="s">
        <v>2</v>
      </c>
      <c r="B18" s="11">
        <f t="shared" ref="B18:AG18" ca="1" si="381">SUM(B14:B17)</f>
        <v>2272.4051896544888</v>
      </c>
      <c r="C18" s="11">
        <f t="shared" ca="1" si="381"/>
        <v>3901.9623607592257</v>
      </c>
      <c r="D18" s="11">
        <f t="shared" ca="1" si="381"/>
        <v>6193.7810037189456</v>
      </c>
      <c r="E18" s="11">
        <f t="shared" ca="1" si="381"/>
        <v>9352.6093156156076</v>
      </c>
      <c r="F18" s="11">
        <f t="shared" ca="1" si="381"/>
        <v>13628.749448114619</v>
      </c>
      <c r="G18" s="11">
        <f t="shared" ca="1" si="381"/>
        <v>19328.950605948878</v>
      </c>
      <c r="H18" s="11">
        <f t="shared" ca="1" si="381"/>
        <v>26827.896741607219</v>
      </c>
      <c r="I18" s="11">
        <f t="shared" ca="1" si="381"/>
        <v>36581.269564504764</v>
      </c>
      <c r="J18" s="11">
        <f t="shared" ca="1" si="381"/>
        <v>49140.8387816514</v>
      </c>
      <c r="K18" s="11">
        <f t="shared" ca="1" si="381"/>
        <v>65171.944837583127</v>
      </c>
      <c r="L18" s="11">
        <f t="shared" ca="1" si="381"/>
        <v>85473.745002686483</v>
      </c>
      <c r="M18" s="11">
        <f t="shared" ca="1" si="381"/>
        <v>111002.62729568659</v>
      </c>
      <c r="N18" s="11">
        <f t="shared" ca="1" si="381"/>
        <v>142899.24313986007</v>
      </c>
      <c r="O18" s="11">
        <f t="shared" ca="1" si="381"/>
        <v>182519.66476116315</v>
      </c>
      <c r="P18" s="11">
        <f t="shared" ca="1" si="381"/>
        <v>231471.23620713118</v>
      </c>
      <c r="Q18" s="11">
        <f t="shared" ca="1" si="381"/>
        <v>291653.75762098527</v>
      </c>
      <c r="R18" s="11">
        <f t="shared" ca="1" si="381"/>
        <v>365306.72159599594</v>
      </c>
      <c r="S18" s="11">
        <f t="shared" ca="1" si="381"/>
        <v>455063.40882980765</v>
      </c>
      <c r="T18" s="11">
        <f t="shared" ca="1" si="381"/>
        <v>564012.74881243554</v>
      </c>
      <c r="U18" s="11">
        <f t="shared" ca="1" si="381"/>
        <v>695769.96095267183</v>
      </c>
      <c r="V18" s="11">
        <f t="shared" ca="1" si="381"/>
        <v>854557.11353086936</v>
      </c>
      <c r="W18" s="11">
        <f t="shared" ca="1" si="381"/>
        <v>1045294.8734377421</v>
      </c>
      <c r="X18" s="11">
        <f t="shared" ca="1" si="381"/>
        <v>1273706.8702238547</v>
      </c>
      <c r="Y18" s="11">
        <f t="shared" ca="1" si="381"/>
        <v>1546438.2650865763</v>
      </c>
      <c r="Z18" s="11">
        <f t="shared" ca="1" si="381"/>
        <v>1871190.3007547571</v>
      </c>
      <c r="AA18" s="11">
        <f t="shared" ca="1" si="381"/>
        <v>2256872.8136543836</v>
      </c>
      <c r="AB18" s="11">
        <f t="shared" ca="1" si="381"/>
        <v>2713776.91728763</v>
      </c>
      <c r="AC18" s="11">
        <f t="shared" ca="1" si="381"/>
        <v>3253770.3176641185</v>
      </c>
      <c r="AD18" s="11">
        <f t="shared" ca="1" si="381"/>
        <v>3890518.0003298521</v>
      </c>
      <c r="AE18" s="11">
        <f t="shared" ca="1" si="381"/>
        <v>4639731.33672</v>
      </c>
      <c r="AF18" s="11">
        <f t="shared" ca="1" si="381"/>
        <v>5519448.9981418876</v>
      </c>
      <c r="AG18" s="11">
        <f t="shared" ca="1" si="381"/>
        <v>6550353.4418731611</v>
      </c>
      <c r="AH18" s="11">
        <f t="shared" ref="AH18:AY18" ca="1" si="382">SUM(AH14:AH17)</f>
        <v>7756127.1491345102</v>
      </c>
      <c r="AI18" s="11">
        <f t="shared" ca="1" si="382"/>
        <v>9163853.2528878246</v>
      </c>
      <c r="AJ18" s="11">
        <f t="shared" ca="1" si="382"/>
        <v>10804465.698693881</v>
      </c>
      <c r="AK18" s="11">
        <f t="shared" ca="1" si="382"/>
        <v>12713254.638796465</v>
      </c>
      <c r="AL18" s="11">
        <f t="shared" ca="1" si="382"/>
        <v>14930433.373157706</v>
      </c>
      <c r="AM18" s="11">
        <f t="shared" ca="1" si="382"/>
        <v>17501773.826781094</v>
      </c>
      <c r="AN18" s="11">
        <f t="shared" ca="1" si="382"/>
        <v>20479318.296245553</v>
      </c>
      <c r="AO18" s="11">
        <f t="shared" ca="1" si="382"/>
        <v>23922176.016392756</v>
      </c>
      <c r="AP18" s="11">
        <f t="shared" ca="1" si="382"/>
        <v>27897413.997598127</v>
      </c>
      <c r="AQ18" s="11">
        <f t="shared" ca="1" si="382"/>
        <v>32481052.572682854</v>
      </c>
      <c r="AR18" s="11">
        <f t="shared" ca="1" si="382"/>
        <v>37759177.178641982</v>
      </c>
      <c r="AS18" s="11">
        <f t="shared" ca="1" si="382"/>
        <v>43829179.091069579</v>
      </c>
      <c r="AT18" s="11">
        <f t="shared" ca="1" si="382"/>
        <v>50801139.138356552</v>
      </c>
      <c r="AU18" s="11">
        <f t="shared" ca="1" si="382"/>
        <v>58799369.859196506</v>
      </c>
      <c r="AV18" s="11">
        <f t="shared" ca="1" si="382"/>
        <v>67964133.142381728</v>
      </c>
      <c r="AW18" s="11">
        <f t="shared" ca="1" si="382"/>
        <v>78453552.115053967</v>
      </c>
      <c r="AX18" s="11">
        <f t="shared" ca="1" si="382"/>
        <v>90445737.938355073</v>
      </c>
      <c r="AY18" s="11">
        <f t="shared" ca="1" si="382"/>
        <v>104141154.24286507</v>
      </c>
      <c r="AZ18" s="11">
        <f t="shared" ref="AZ18:CW18" ca="1" si="383">SUM(AZ14:AZ17)</f>
        <v>119765244.20669103</v>
      </c>
      <c r="BA18" s="11">
        <f t="shared" ca="1" si="383"/>
        <v>137571347.76436144</v>
      </c>
      <c r="BB18" s="11">
        <f t="shared" ca="1" si="383"/>
        <v>157843939.15409896</v>
      </c>
      <c r="BC18" s="11">
        <f t="shared" ca="1" si="383"/>
        <v>180902217.98555428</v>
      </c>
      <c r="BD18" s="11">
        <f t="shared" ca="1" si="383"/>
        <v>207104090.26244104</v>
      </c>
      <c r="BE18" s="11">
        <f t="shared" ca="1" si="383"/>
        <v>236850579.34940687</v>
      </c>
      <c r="BF18" s="11">
        <f t="shared" ca="1" si="383"/>
        <v>270590710.75669003</v>
      </c>
      <c r="BG18" s="11">
        <f t="shared" ca="1" si="383"/>
        <v>308826918.85869479</v>
      </c>
      <c r="BH18" s="11">
        <f t="shared" ca="1" si="383"/>
        <v>352121028.29505849</v>
      </c>
      <c r="BI18" s="11">
        <f t="shared" ca="1" si="383"/>
        <v>401100867.85921538</v>
      </c>
      <c r="BJ18" s="11">
        <f t="shared" ca="1" si="383"/>
        <v>456467580.19687819</v>
      </c>
      <c r="BK18" s="11">
        <f t="shared" ca="1" si="383"/>
        <v>519003696.65532011</v>
      </c>
      <c r="BL18" s="11">
        <f t="shared" ca="1" si="383"/>
        <v>589582053.18726289</v>
      </c>
      <c r="BM18" s="11">
        <f t="shared" ca="1" si="383"/>
        <v>669175630.36754334</v>
      </c>
      <c r="BN18" s="11">
        <f t="shared" ca="1" si="383"/>
        <v>758868408.37742329</v>
      </c>
      <c r="BO18" s="11">
        <f t="shared" ca="1" si="383"/>
        <v>859867336.30548787</v>
      </c>
      <c r="BP18" s="11">
        <f t="shared" ca="1" si="383"/>
        <v>973515524.36512053</v>
      </c>
      <c r="BQ18" s="11">
        <f t="shared" ca="1" si="383"/>
        <v>1101306777.7010059</v>
      </c>
      <c r="BR18" s="11">
        <f t="shared" ca="1" si="383"/>
        <v>1244901601.4206908</v>
      </c>
      <c r="BS18" s="11">
        <f t="shared" ca="1" si="383"/>
        <v>1406144818.4173186</v>
      </c>
      <c r="BT18" s="11">
        <f t="shared" ca="1" si="383"/>
        <v>1587084954.5276918</v>
      </c>
      <c r="BU18" s="11">
        <f t="shared" ca="1" si="383"/>
        <v>1789995559.6839144</v>
      </c>
      <c r="BV18" s="11">
        <f t="shared" ca="1" si="383"/>
        <v>2017398649.062139</v>
      </c>
      <c r="BW18" s="11">
        <f t="shared" ca="1" si="383"/>
        <v>2272090464.9112053</v>
      </c>
      <c r="BX18" s="11">
        <f t="shared" ca="1" si="383"/>
        <v>2557169777.8682508</v>
      </c>
      <c r="BY18" s="11">
        <f t="shared" ca="1" si="383"/>
        <v>2876068966.2575665</v>
      </c>
      <c r="BZ18" s="11">
        <f t="shared" ca="1" si="383"/>
        <v>3232588133.2525291</v>
      </c>
      <c r="CA18" s="11">
        <f t="shared" ca="1" si="383"/>
        <v>3630932544.9980726</v>
      </c>
      <c r="CB18" s="11">
        <f t="shared" ca="1" si="383"/>
        <v>4075753697.9936399</v>
      </c>
      <c r="CC18" s="11">
        <f t="shared" ca="1" si="383"/>
        <v>4572194351.3865728</v>
      </c>
      <c r="CD18" s="11">
        <f t="shared" ca="1" si="383"/>
        <v>5125937889.4989471</v>
      </c>
      <c r="CE18" s="11">
        <f t="shared" ca="1" si="383"/>
        <v>5743262412.0961828</v>
      </c>
      <c r="CF18" s="11">
        <f t="shared" ca="1" si="383"/>
        <v>6431099984.8074865</v>
      </c>
      <c r="CG18" s="11">
        <f t="shared" ca="1" si="383"/>
        <v>7197101519.9462681</v>
      </c>
      <c r="CH18" s="11">
        <f t="shared" ca="1" si="383"/>
        <v>8049707798.9903755</v>
      </c>
      <c r="CI18" s="11">
        <f t="shared" ca="1" si="383"/>
        <v>8998227192.4227562</v>
      </c>
      <c r="CJ18" s="11">
        <f t="shared" ca="1" si="383"/>
        <v>10052920680.778458</v>
      </c>
      <c r="CK18" s="11">
        <f t="shared" ca="1" si="383"/>
        <v>11225094832.890289</v>
      </c>
      <c r="CL18" s="11">
        <f t="shared" ca="1" si="383"/>
        <v>12527203453.792599</v>
      </c>
      <c r="CM18" s="11">
        <f t="shared" ca="1" si="383"/>
        <v>13972958675.874275</v>
      </c>
      <c r="CN18" s="11">
        <f t="shared" ca="1" si="383"/>
        <v>15577452333.039114</v>
      </c>
      <c r="CO18" s="11">
        <f t="shared" ca="1" si="383"/>
        <v>17357288529.232342</v>
      </c>
      <c r="CP18" s="11">
        <f t="shared" ca="1" si="383"/>
        <v>19330728390.155914</v>
      </c>
      <c r="CQ18" s="11">
        <f t="shared" ca="1" si="383"/>
        <v>21517848070.783958</v>
      </c>
      <c r="CR18" s="11">
        <f t="shared" ca="1" si="383"/>
        <v>23940711181.899967</v>
      </c>
      <c r="CS18" s="11">
        <f t="shared" ca="1" si="383"/>
        <v>26623556896.843906</v>
      </c>
      <c r="CT18" s="11">
        <f t="shared" ca="1" si="383"/>
        <v>29593005105.555065</v>
      </c>
      <c r="CU18" s="11">
        <f t="shared" ca="1" si="383"/>
        <v>32878280097.442913</v>
      </c>
      <c r="CV18" s="11">
        <f t="shared" ca="1" si="383"/>
        <v>36511454378.278793</v>
      </c>
      <c r="CW18" s="11">
        <f t="shared" ca="1" si="383"/>
        <v>40527714359.889465</v>
      </c>
      <c r="CX18" s="11">
        <f t="shared" ref="CX18" ca="1" si="384">SUM(CX14:CX17)</f>
        <v>44965649805.718102</v>
      </c>
      <c r="CY18" s="11">
        <f t="shared" ref="CY18" ca="1" si="385">SUM(CY14:CY17)</f>
        <v>49867569071.123413</v>
      </c>
      <c r="CZ18" s="11">
        <f t="shared" ref="CZ18" ca="1" si="386">SUM(CZ14:CZ17)</f>
        <v>55279842345.50045</v>
      </c>
      <c r="DA18" s="11">
        <f t="shared" ref="DA18" ca="1" si="387">SUM(DA14:DA17)</f>
        <v>61253275284.879295</v>
      </c>
      <c r="DB18" s="11">
        <f t="shared" ref="DB18" ca="1" si="388">SUM(DB14:DB17)</f>
        <v>67843515619.613106</v>
      </c>
      <c r="DC18" s="11">
        <f t="shared" ref="DC18" ca="1" si="389">SUM(DC14:DC17)</f>
        <v>75111495533.20369</v>
      </c>
      <c r="DD18" s="11">
        <f t="shared" ref="DD18" ca="1" si="390">SUM(DD14:DD17)</f>
        <v>83123912836.409561</v>
      </c>
      <c r="DE18" s="11">
        <f t="shared" ref="DE18" ca="1" si="391">SUM(DE14:DE17)</f>
        <v>91953754206.806335</v>
      </c>
      <c r="DF18" s="11">
        <f t="shared" ref="DF18" ca="1" si="392">SUM(DF14:DF17)</f>
        <v>101680864029.27881</v>
      </c>
      <c r="DG18" s="11">
        <f t="shared" ref="DG18" ca="1" si="393">SUM(DG14:DG17)</f>
        <v>112392562658.9801</v>
      </c>
      <c r="DH18" s="11">
        <f t="shared" ref="DH18" ca="1" si="394">SUM(DH14:DH17)</f>
        <v>124184318236.65839</v>
      </c>
      <c r="DI18" s="11">
        <f t="shared" ref="DI18" ca="1" si="395">SUM(DI14:DI17)</f>
        <v>137160476518.60715</v>
      </c>
      <c r="DJ18" s="11">
        <f t="shared" ref="DJ18" ca="1" si="396">SUM(DJ14:DJ17)</f>
        <v>151435053541.64243</v>
      </c>
      <c r="DK18" s="11">
        <f t="shared" ref="DK18" ca="1" si="397">SUM(DK14:DK17)</f>
        <v>167132596329.38046</v>
      </c>
      <c r="DL18" s="11">
        <f t="shared" ref="DL18" ca="1" si="398">SUM(DL14:DL17)</f>
        <v>184389117261.75772</v>
      </c>
      <c r="DM18" s="11">
        <f t="shared" ref="DM18" ca="1" si="399">SUM(DM14:DM17)</f>
        <v>203353108177.42041</v>
      </c>
      <c r="DN18" s="11">
        <f t="shared" ref="DN18" ca="1" si="400">SUM(DN14:DN17)</f>
        <v>224186640760.69885</v>
      </c>
      <c r="DO18" s="11">
        <f t="shared" ref="DO18" ca="1" si="401">SUM(DO14:DO17)</f>
        <v>247066560283.92474</v>
      </c>
      <c r="DP18" s="11">
        <f t="shared" ref="DP18" ca="1" si="402">SUM(DP14:DP17)</f>
        <v>272185780334.58435</v>
      </c>
      <c r="DQ18" s="11">
        <f t="shared" ref="DQ18" ca="1" si="403">SUM(DQ14:DQ17)</f>
        <v>299754686758.16315</v>
      </c>
      <c r="DR18" s="11">
        <f t="shared" ref="DR18" ca="1" si="404">SUM(DR14:DR17)</f>
        <v>330002659694.6687</v>
      </c>
      <c r="DS18" s="11">
        <f t="shared" ref="DS18" ca="1" si="405">SUM(DS14:DS17)</f>
        <v>363179723283.08759</v>
      </c>
      <c r="DT18" s="11">
        <f t="shared" ref="DT18" ca="1" si="406">SUM(DT14:DT17)</f>
        <v>399558333357.04657</v>
      </c>
      <c r="DU18" s="11">
        <f t="shared" ref="DU18" ca="1" si="407">SUM(DU14:DU17)</f>
        <v>439435314260.57062</v>
      </c>
      <c r="DV18" s="11">
        <f t="shared" ref="DV18" ca="1" si="408">SUM(DV14:DV17)</f>
        <v>483133956779.20105</v>
      </c>
      <c r="DW18" s="11">
        <f t="shared" ref="DW18" ca="1" si="409">SUM(DW14:DW17)</f>
        <v>531006290113.28406</v>
      </c>
      <c r="DX18" s="11">
        <f t="shared" ref="DX18" ca="1" si="410">SUM(DX14:DX17)</f>
        <v>583435541821.70923</v>
      </c>
      <c r="DY18" s="11">
        <f t="shared" ref="DY18" ca="1" si="411">SUM(DY14:DY17)</f>
        <v>640838800740.84851</v>
      </c>
      <c r="DZ18" s="11">
        <f t="shared" ref="DZ18" ca="1" si="412">SUM(DZ14:DZ17)</f>
        <v>703669899040.34753</v>
      </c>
      <c r="EA18" s="11">
        <f t="shared" ref="EA18" ca="1" si="413">SUM(EA14:EA17)</f>
        <v>772422530820.58142</v>
      </c>
      <c r="EB18" s="11">
        <f t="shared" ref="EB18" ca="1" si="414">SUM(EB14:EB17)</f>
        <v>847633625992.21997</v>
      </c>
      <c r="EC18" s="11">
        <f t="shared" ref="EC18" ca="1" si="415">SUM(EC14:EC17)</f>
        <v>929886999613.11926</v>
      </c>
      <c r="ED18" s="11">
        <f t="shared" ref="ED18" ca="1" si="416">SUM(ED14:ED17)</f>
        <v>1019817298398.7911</v>
      </c>
      <c r="EE18" s="11">
        <f t="shared" ref="EE18" ca="1" si="417">SUM(EE14:EE17)</f>
        <v>1118114267777.6191</v>
      </c>
      <c r="EF18" s="11">
        <f t="shared" ref="EF18" ca="1" si="418">SUM(EF14:EF17)</f>
        <v>1225527364638.9424</v>
      </c>
      <c r="EG18" s="11">
        <f t="shared" ref="EG18" ca="1" si="419">SUM(EG14:EG17)</f>
        <v>1342870742829.835</v>
      </c>
      <c r="EH18" s="11">
        <f t="shared" ref="EH18" ca="1" si="420">SUM(EH14:EH17)</f>
        <v>1471028640504.1797</v>
      </c>
      <c r="EI18" s="11">
        <f t="shared" ref="EI18" ca="1" si="421">SUM(EI14:EI17)</f>
        <v>1610961200625.4561</v>
      </c>
      <c r="EJ18" s="11">
        <f t="shared" ref="EJ18" ca="1" si="422">SUM(EJ14:EJ17)</f>
        <v>1763710758283.1577</v>
      </c>
      <c r="EK18" s="11">
        <f t="shared" ref="EK18" ca="1" si="423">SUM(EK14:EK17)</f>
        <v>1930408631013.3364</v>
      </c>
      <c r="EL18" s="11">
        <f t="shared" ref="EL18" ca="1" si="424">SUM(EL14:EL17)</f>
        <v>2112282451028.5967</v>
      </c>
      <c r="EM18" s="11">
        <f t="shared" ref="EM18" ca="1" si="425">SUM(EM14:EM17)</f>
        <v>2310664081174.9268</v>
      </c>
      <c r="EN18" s="11">
        <f t="shared" ref="EN18" ca="1" si="426">SUM(EN14:EN17)</f>
        <v>2526998159555.9668</v>
      </c>
      <c r="EO18" s="11">
        <f t="shared" ref="EO18" ca="1" si="427">SUM(EO14:EO17)</f>
        <v>2762851321114.5234</v>
      </c>
      <c r="EP18" s="11">
        <f t="shared" ref="EP18" ca="1" si="428">SUM(EP14:EP17)</f>
        <v>3019922148052.1631</v>
      </c>
      <c r="EQ18" s="11">
        <f t="shared" ref="EQ18" ca="1" si="429">SUM(EQ14:EQ17)</f>
        <v>3300051904817.5527</v>
      </c>
      <c r="ER18" s="11">
        <f t="shared" ref="ER18" ca="1" si="430">SUM(ER14:ER17)</f>
        <v>3605236117520.8931</v>
      </c>
      <c r="ES18" s="11">
        <f t="shared" ref="ES18" ca="1" si="431">SUM(ES14:ES17)</f>
        <v>3937637062054.6689</v>
      </c>
      <c r="ET18" s="11">
        <f t="shared" ref="ET18" ca="1" si="432">SUM(ET14:ET17)</f>
        <v>4299597229940.6157</v>
      </c>
      <c r="EU18" s="11">
        <f t="shared" ref="EU18" ca="1" si="433">SUM(EU14:EU17)</f>
        <v>4693653846001.3047</v>
      </c>
    </row>
    <row r="20" spans="1:151" ht="15">
      <c r="A20" s="15" t="s">
        <v>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</row>
    <row r="21" spans="1:151">
      <c r="A21" s="4">
        <v>0</v>
      </c>
      <c r="B21" s="9">
        <f t="shared" ref="B21:AG21" ca="1" si="434">B8/B$12</f>
        <v>0.14082196466101662</v>
      </c>
      <c r="C21" s="9">
        <f t="shared" ca="1" si="434"/>
        <v>0.68873768623569032</v>
      </c>
      <c r="D21" s="9">
        <f t="shared" ca="1" si="434"/>
        <v>0.52940414732657903</v>
      </c>
      <c r="E21" s="9">
        <f t="shared" ca="1" si="434"/>
        <v>0.45000833865321627</v>
      </c>
      <c r="F21" s="9">
        <f t="shared" ca="1" si="434"/>
        <v>0.4649539912169996</v>
      </c>
      <c r="G21" s="9">
        <f t="shared" ca="1" si="434"/>
        <v>0.47297765817747456</v>
      </c>
      <c r="H21" s="9">
        <f t="shared" ca="1" si="434"/>
        <v>0.45208712808362034</v>
      </c>
      <c r="I21" s="9">
        <f t="shared" ca="1" si="434"/>
        <v>0.44525233509544598</v>
      </c>
      <c r="J21" s="9">
        <f t="shared" ca="1" si="434"/>
        <v>0.44298904302249492</v>
      </c>
      <c r="K21" s="9">
        <f t="shared" ca="1" si="434"/>
        <v>0.43831151493955506</v>
      </c>
      <c r="L21" s="9">
        <f t="shared" ca="1" si="434"/>
        <v>0.43315688478138115</v>
      </c>
      <c r="M21" s="9">
        <f t="shared" ca="1" si="434"/>
        <v>0.42991873778521161</v>
      </c>
      <c r="N21" s="9">
        <f t="shared" ca="1" si="434"/>
        <v>0.42692644736924218</v>
      </c>
      <c r="O21" s="9">
        <f t="shared" ca="1" si="434"/>
        <v>0.42390463780699611</v>
      </c>
      <c r="P21" s="9">
        <f t="shared" ca="1" si="434"/>
        <v>0.42121876950763593</v>
      </c>
      <c r="Q21" s="9">
        <f t="shared" ca="1" si="434"/>
        <v>0.41888035879173835</v>
      </c>
      <c r="R21" s="9">
        <f t="shared" ca="1" si="434"/>
        <v>0.41667704961936713</v>
      </c>
      <c r="S21" s="9">
        <f t="shared" ca="1" si="434"/>
        <v>0.4146238025148184</v>
      </c>
      <c r="T21" s="9">
        <f t="shared" ca="1" si="434"/>
        <v>0.4127409141417594</v>
      </c>
      <c r="U21" s="9">
        <f t="shared" ca="1" si="434"/>
        <v>0.41099392390488865</v>
      </c>
      <c r="V21" s="9">
        <f t="shared" ca="1" si="434"/>
        <v>0.40935446483604959</v>
      </c>
      <c r="W21" s="9">
        <f t="shared" ca="1" si="434"/>
        <v>0.40782040200945291</v>
      </c>
      <c r="X21" s="9">
        <f t="shared" ca="1" si="434"/>
        <v>0.40638252423296528</v>
      </c>
      <c r="Y21" s="9">
        <f t="shared" ca="1" si="434"/>
        <v>0.40502811687289242</v>
      </c>
      <c r="Z21" s="9">
        <f t="shared" ca="1" si="434"/>
        <v>0.40374912117475092</v>
      </c>
      <c r="AA21" s="9">
        <f t="shared" ca="1" si="434"/>
        <v>0.40253997374753864</v>
      </c>
      <c r="AB21" s="9">
        <f t="shared" ca="1" si="434"/>
        <v>0.40139418854697045</v>
      </c>
      <c r="AC21" s="9">
        <f t="shared" ca="1" si="434"/>
        <v>0.40030601748227834</v>
      </c>
      <c r="AD21" s="9">
        <f t="shared" ca="1" si="434"/>
        <v>0.39927090292754869</v>
      </c>
      <c r="AE21" s="9">
        <f t="shared" ca="1" si="434"/>
        <v>0.39828473388443886</v>
      </c>
      <c r="AF21" s="9">
        <f t="shared" ca="1" si="434"/>
        <v>0.39734364366424013</v>
      </c>
      <c r="AG21" s="9">
        <f t="shared" ca="1" si="434"/>
        <v>0.3964442544331882</v>
      </c>
      <c r="AH21" s="9">
        <f t="shared" ref="AH21:AY21" ca="1" si="435">AH8/AH$12</f>
        <v>0.39558358189690757</v>
      </c>
      <c r="AI21" s="9">
        <f t="shared" ca="1" si="435"/>
        <v>0.3947588997099899</v>
      </c>
      <c r="AJ21" s="9">
        <f t="shared" ca="1" si="435"/>
        <v>0.39396773198589652</v>
      </c>
      <c r="AK21" s="9">
        <f t="shared" ca="1" si="435"/>
        <v>0.39320785317222345</v>
      </c>
      <c r="AL21" s="9">
        <f t="shared" ca="1" si="435"/>
        <v>0.39247724026791098</v>
      </c>
      <c r="AM21" s="9">
        <f t="shared" ca="1" si="435"/>
        <v>0.39177404357156337</v>
      </c>
      <c r="AN21" s="9">
        <f t="shared" ca="1" si="435"/>
        <v>0.39109657498104888</v>
      </c>
      <c r="AO21" s="9">
        <f t="shared" ca="1" si="435"/>
        <v>0.39044329131230315</v>
      </c>
      <c r="AP21" s="9">
        <f t="shared" ca="1" si="435"/>
        <v>0.38981277548581028</v>
      </c>
      <c r="AQ21" s="9">
        <f t="shared" ca="1" si="435"/>
        <v>0.38920372398239833</v>
      </c>
      <c r="AR21" s="9">
        <f t="shared" ca="1" si="435"/>
        <v>0.38861493641654216</v>
      </c>
      <c r="AS21" s="9">
        <f t="shared" ca="1" si="435"/>
        <v>0.3880453048699028</v>
      </c>
      <c r="AT21" s="9">
        <f t="shared" ca="1" si="435"/>
        <v>0.38749380455776855</v>
      </c>
      <c r="AU21" s="9">
        <f t="shared" ca="1" si="435"/>
        <v>0.38695948619581538</v>
      </c>
      <c r="AV21" s="9">
        <f t="shared" ca="1" si="435"/>
        <v>0.38644146904486903</v>
      </c>
      <c r="AW21" s="9">
        <f t="shared" ca="1" si="435"/>
        <v>0.38593893455032297</v>
      </c>
      <c r="AX21" s="9">
        <f t="shared" ca="1" si="435"/>
        <v>0.38545112078724919</v>
      </c>
      <c r="AY21" s="9">
        <f t="shared" ca="1" si="435"/>
        <v>0.38497731755177733</v>
      </c>
      <c r="AZ21" s="9">
        <f t="shared" ref="AZ21:CW21" ca="1" si="436">AZ8/AZ$12</f>
        <v>0.38451686191051687</v>
      </c>
      <c r="BA21" s="9">
        <f t="shared" ca="1" si="436"/>
        <v>0.38406913420433864</v>
      </c>
      <c r="BB21" s="9">
        <f t="shared" ca="1" si="436"/>
        <v>0.38363355447997149</v>
      </c>
      <c r="BC21" s="9">
        <f t="shared" ca="1" si="436"/>
        <v>0.38320957927322125</v>
      </c>
      <c r="BD21" s="9">
        <f t="shared" ca="1" si="436"/>
        <v>0.38279669869726179</v>
      </c>
      <c r="BE21" s="9">
        <f t="shared" ca="1" si="436"/>
        <v>0.38239443381361859</v>
      </c>
      <c r="BF21" s="9">
        <f t="shared" ca="1" si="436"/>
        <v>0.38200233425347824</v>
      </c>
      <c r="BG21" s="9">
        <f t="shared" ca="1" si="436"/>
        <v>0.38161997605734277</v>
      </c>
      <c r="BH21" s="9">
        <f t="shared" ca="1" si="436"/>
        <v>0.38124695971078798</v>
      </c>
      <c r="BI21" s="9">
        <f t="shared" ca="1" si="436"/>
        <v>0.38088290835712113</v>
      </c>
      <c r="BJ21" s="9">
        <f t="shared" ca="1" si="436"/>
        <v>0.38052746616754252</v>
      </c>
      <c r="BK21" s="9">
        <f t="shared" ca="1" si="436"/>
        <v>0.3801802968522488</v>
      </c>
      <c r="BL21" s="9">
        <f t="shared" ca="1" si="436"/>
        <v>0.37984108229870289</v>
      </c>
      <c r="BM21" s="9">
        <f t="shared" ca="1" si="436"/>
        <v>0.37950952132447624</v>
      </c>
      <c r="BN21" s="9">
        <f t="shared" ca="1" si="436"/>
        <v>0.37918532853323011</v>
      </c>
      <c r="BO21" s="9">
        <f t="shared" ca="1" si="436"/>
        <v>0.3788682332639226</v>
      </c>
      <c r="BP21" s="9">
        <f t="shared" ca="1" si="436"/>
        <v>0.37855797862444091</v>
      </c>
      <c r="BQ21" s="9">
        <f t="shared" ca="1" si="436"/>
        <v>0.37825432060173408</v>
      </c>
      <c r="BR21" s="9">
        <f t="shared" ca="1" si="436"/>
        <v>0.3779570272413445</v>
      </c>
      <c r="BS21" s="9">
        <f t="shared" ca="1" si="436"/>
        <v>0.37766587789005268</v>
      </c>
      <c r="BT21" s="9">
        <f t="shared" ca="1" si="436"/>
        <v>0.37738066249595775</v>
      </c>
      <c r="BU21" s="9">
        <f t="shared" ca="1" si="436"/>
        <v>0.37710118096092154</v>
      </c>
      <c r="BV21" s="9">
        <f t="shared" ca="1" si="436"/>
        <v>0.37682724254078132</v>
      </c>
      <c r="BW21" s="9">
        <f t="shared" ca="1" si="436"/>
        <v>0.37655866528923598</v>
      </c>
      <c r="BX21" s="9">
        <f t="shared" ca="1" si="436"/>
        <v>0.37629527554168068</v>
      </c>
      <c r="BY21" s="9">
        <f t="shared" ca="1" si="436"/>
        <v>0.37603690743564105</v>
      </c>
      <c r="BZ21" s="9">
        <f t="shared" ca="1" si="436"/>
        <v>0.37578340246477587</v>
      </c>
      <c r="CA21" s="9">
        <f t="shared" ca="1" si="436"/>
        <v>0.37553460906369968</v>
      </c>
      <c r="CB21" s="9">
        <f t="shared" ca="1" si="436"/>
        <v>0.37529038222113892</v>
      </c>
      <c r="CC21" s="9">
        <f t="shared" ca="1" si="436"/>
        <v>0.37505058311916173</v>
      </c>
      <c r="CD21" s="9">
        <f t="shared" ca="1" si="436"/>
        <v>0.37481507879642334</v>
      </c>
      <c r="CE21" s="9">
        <f t="shared" ca="1" si="436"/>
        <v>0.37458374183356336</v>
      </c>
      <c r="CF21" s="9">
        <f t="shared" ca="1" si="436"/>
        <v>0.37435645005904578</v>
      </c>
      <c r="CG21" s="9">
        <f t="shared" ca="1" si="436"/>
        <v>0.37413308627389263</v>
      </c>
      <c r="CH21" s="9">
        <f t="shared" ca="1" si="436"/>
        <v>0.37391353799388805</v>
      </c>
      <c r="CI21" s="9">
        <f t="shared" ca="1" si="436"/>
        <v>0.37369769720795937</v>
      </c>
      <c r="CJ21" s="9">
        <f t="shared" ca="1" si="436"/>
        <v>0.37348546015154382</v>
      </c>
      <c r="CK21" s="9">
        <f t="shared" ca="1" si="436"/>
        <v>0.37327672709385623</v>
      </c>
      <c r="CL21" s="9">
        <f t="shared" ca="1" si="436"/>
        <v>0.37307140213806056</v>
      </c>
      <c r="CM21" s="9">
        <f t="shared" ca="1" si="436"/>
        <v>0.37286939303342315</v>
      </c>
      <c r="CN21" s="9">
        <f t="shared" ca="1" si="436"/>
        <v>0.37267061099861643</v>
      </c>
      <c r="CO21" s="9">
        <f t="shared" ca="1" si="436"/>
        <v>0.37247497055539047</v>
      </c>
      <c r="CP21" s="9">
        <f t="shared" ca="1" si="436"/>
        <v>0.37228238937190195</v>
      </c>
      <c r="CQ21" s="9">
        <f t="shared" ca="1" si="436"/>
        <v>0.37209278811504637</v>
      </c>
      <c r="CR21" s="9">
        <f t="shared" ca="1" si="436"/>
        <v>0.37190609031118682</v>
      </c>
      <c r="CS21" s="9">
        <f t="shared" ca="1" si="436"/>
        <v>0.37172222221471668</v>
      </c>
      <c r="CT21" s="9">
        <f t="shared" ca="1" si="436"/>
        <v>0.37154111268394624</v>
      </c>
      <c r="CU21" s="9">
        <f t="shared" ca="1" si="436"/>
        <v>0.37136269306382874</v>
      </c>
      <c r="CV21" s="9">
        <f t="shared" ca="1" si="436"/>
        <v>0.37118689707509123</v>
      </c>
      <c r="CW21" s="9">
        <f t="shared" ca="1" si="436"/>
        <v>0.37101366070935177</v>
      </c>
      <c r="CX21" s="9">
        <f t="shared" ref="CX21:EP21" ca="1" si="437">CX8/CX$12</f>
        <v>0.37084292212985503</v>
      </c>
      <c r="CY21" s="9">
        <f t="shared" ca="1" si="437"/>
        <v>0.37067462157746311</v>
      </c>
      <c r="CZ21" s="9">
        <f t="shared" ca="1" si="437"/>
        <v>0.3705087012815817</v>
      </c>
      <c r="DA21" s="9">
        <f t="shared" ca="1" si="437"/>
        <v>0.3703451053757178</v>
      </c>
      <c r="DB21" s="9">
        <f t="shared" ca="1" si="437"/>
        <v>0.37018377981738337</v>
      </c>
      <c r="DC21" s="9">
        <f t="shared" ca="1" si="437"/>
        <v>0.37002467231208691</v>
      </c>
      <c r="DD21" s="9">
        <f t="shared" ca="1" si="437"/>
        <v>0.36986773224116271</v>
      </c>
      <c r="DE21" s="9">
        <f t="shared" ca="1" si="437"/>
        <v>0.36971291059321959</v>
      </c>
      <c r="DF21" s="9">
        <f t="shared" ca="1" si="437"/>
        <v>0.36956015989898483</v>
      </c>
      <c r="DG21" s="9">
        <f t="shared" ca="1" si="437"/>
        <v>0.36940943416935623</v>
      </c>
      <c r="DH21" s="9">
        <f t="shared" ca="1" si="437"/>
        <v>0.36926068883647217</v>
      </c>
      <c r="DI21" s="9">
        <f t="shared" ca="1" si="437"/>
        <v>0.36911388069762707</v>
      </c>
      <c r="DJ21" s="9">
        <f t="shared" ca="1" si="437"/>
        <v>0.36896896786187244</v>
      </c>
      <c r="DK21" s="9">
        <f t="shared" ca="1" si="437"/>
        <v>0.36882590969915319</v>
      </c>
      <c r="DL21" s="9">
        <f t="shared" ca="1" si="437"/>
        <v>0.36868466679183604</v>
      </c>
      <c r="DM21" s="9">
        <f t="shared" ca="1" si="437"/>
        <v>0.36854520088850051</v>
      </c>
      <c r="DN21" s="9">
        <f t="shared" ca="1" si="437"/>
        <v>0.36840747485986525</v>
      </c>
      <c r="DO21" s="9">
        <f t="shared" ca="1" si="437"/>
        <v>0.36827145265673894</v>
      </c>
      <c r="DP21" s="9">
        <f t="shared" ca="1" si="437"/>
        <v>0.36813709926987992</v>
      </c>
      <c r="DQ21" s="9">
        <f t="shared" ca="1" si="437"/>
        <v>0.36800438069167091</v>
      </c>
      <c r="DR21" s="9">
        <f t="shared" ca="1" si="437"/>
        <v>0.36787326387950425</v>
      </c>
      <c r="DS21" s="9">
        <f t="shared" ca="1" si="437"/>
        <v>0.36774371672079492</v>
      </c>
      <c r="DT21" s="9">
        <f t="shared" ca="1" si="437"/>
        <v>0.36761570799953219</v>
      </c>
      <c r="DU21" s="9">
        <f t="shared" ca="1" si="437"/>
        <v>0.36748920736429203</v>
      </c>
      <c r="DV21" s="9">
        <f t="shared" ca="1" si="437"/>
        <v>0.36736418529763548</v>
      </c>
      <c r="DW21" s="9">
        <f t="shared" ca="1" si="437"/>
        <v>0.36724061308682249</v>
      </c>
      <c r="DX21" s="9">
        <f t="shared" ca="1" si="437"/>
        <v>0.36711846279577376</v>
      </c>
      <c r="DY21" s="9">
        <f t="shared" ca="1" si="437"/>
        <v>0.36699770723822045</v>
      </c>
      <c r="DZ21" s="9">
        <f t="shared" ca="1" si="437"/>
        <v>0.36687831995197812</v>
      </c>
      <c r="EA21" s="9">
        <f t="shared" ca="1" si="437"/>
        <v>0.36676027517429788</v>
      </c>
      <c r="EB21" s="9">
        <f t="shared" ca="1" si="437"/>
        <v>0.36664354781823183</v>
      </c>
      <c r="EC21" s="9">
        <f t="shared" ca="1" si="437"/>
        <v>0.36652811344997027</v>
      </c>
      <c r="ED21" s="9">
        <f t="shared" ca="1" si="437"/>
        <v>0.36641394826710322</v>
      </c>
      <c r="EE21" s="9">
        <f t="shared" ca="1" si="437"/>
        <v>0.36630102907776019</v>
      </c>
      <c r="EF21" s="9">
        <f t="shared" ca="1" si="437"/>
        <v>0.36618933328058545</v>
      </c>
      <c r="EG21" s="9">
        <f t="shared" ca="1" si="437"/>
        <v>0.36607883884551357</v>
      </c>
      <c r="EH21" s="9">
        <f t="shared" ca="1" si="437"/>
        <v>0.36596952429530588</v>
      </c>
      <c r="EI21" s="9">
        <f t="shared" ca="1" si="437"/>
        <v>0.36586136868780833</v>
      </c>
      <c r="EJ21" s="9">
        <f t="shared" ca="1" si="437"/>
        <v>0.36575435159890485</v>
      </c>
      <c r="EK21" s="9">
        <f t="shared" ca="1" si="437"/>
        <v>0.36564845310612887</v>
      </c>
      <c r="EL21" s="9">
        <f t="shared" ca="1" si="437"/>
        <v>0.3655436537729061</v>
      </c>
      <c r="EM21" s="9">
        <f t="shared" ca="1" si="437"/>
        <v>0.3654399346333968</v>
      </c>
      <c r="EN21" s="9">
        <f t="shared" ca="1" si="437"/>
        <v>0.36533727717791448</v>
      </c>
      <c r="EO21" s="9">
        <f t="shared" ca="1" si="437"/>
        <v>0.36523566333889346</v>
      </c>
      <c r="EP21" s="9">
        <f t="shared" ca="1" si="437"/>
        <v>0.36513507547737983</v>
      </c>
      <c r="EQ21" s="9">
        <f t="shared" ref="EQ21:EU21" ca="1" si="438">EQ8/EQ$12</f>
        <v>0.36503549637002547</v>
      </c>
      <c r="ER21" s="9">
        <f t="shared" ca="1" si="438"/>
        <v>0.36493690919656019</v>
      </c>
      <c r="ES21" s="9">
        <f t="shared" ca="1" si="438"/>
        <v>0.36483929752772559</v>
      </c>
      <c r="ET21" s="9">
        <f t="shared" ca="1" si="438"/>
        <v>0.36474264531364486</v>
      </c>
      <c r="EU21" s="9">
        <f t="shared" ca="1" si="438"/>
        <v>0.36464693687261546</v>
      </c>
    </row>
    <row r="22" spans="1:151">
      <c r="A22" s="4">
        <f>A21+1</f>
        <v>1</v>
      </c>
      <c r="B22" s="9">
        <f t="shared" ref="B22:AG22" ca="1" si="439">B9/B$12</f>
        <v>0.15690546767402735</v>
      </c>
      <c r="C22" s="9">
        <f t="shared" ca="1" si="439"/>
        <v>7.7910627279406092E-2</v>
      </c>
      <c r="D22" s="9">
        <f t="shared" ca="1" si="439"/>
        <v>0.41219686330348465</v>
      </c>
      <c r="E22" s="9">
        <f t="shared" ca="1" si="439"/>
        <v>0.33306883441076157</v>
      </c>
      <c r="F22" s="9">
        <f t="shared" ca="1" si="439"/>
        <v>0.29337354732398097</v>
      </c>
      <c r="G22" s="9">
        <f t="shared" ca="1" si="439"/>
        <v>0.31144496674251709</v>
      </c>
      <c r="H22" s="9">
        <f t="shared" ca="1" si="439"/>
        <v>0.32373218767942752</v>
      </c>
      <c r="I22" s="9">
        <f t="shared" ca="1" si="439"/>
        <v>0.31497319770703952</v>
      </c>
      <c r="J22" s="9">
        <f t="shared" ca="1" si="439"/>
        <v>0.31488068362829308</v>
      </c>
      <c r="K22" s="9">
        <f t="shared" ca="1" si="439"/>
        <v>0.3173207511220415</v>
      </c>
      <c r="L22" s="9">
        <f t="shared" ca="1" si="439"/>
        <v>0.3174932042441726</v>
      </c>
      <c r="M22" s="9">
        <f t="shared" ca="1" si="439"/>
        <v>0.31686064480683229</v>
      </c>
      <c r="N22" s="9">
        <f t="shared" ca="1" si="439"/>
        <v>0.31725853091147482</v>
      </c>
      <c r="O22" s="9">
        <f t="shared" ca="1" si="439"/>
        <v>0.31753889626644494</v>
      </c>
      <c r="P22" s="9">
        <f t="shared" ca="1" si="439"/>
        <v>0.31754436088249044</v>
      </c>
      <c r="Q22" s="9">
        <f t="shared" ca="1" si="439"/>
        <v>0.3175855801843287</v>
      </c>
      <c r="R22" s="9">
        <f t="shared" ca="1" si="439"/>
        <v>0.31770460887338692</v>
      </c>
      <c r="S22" s="9">
        <f t="shared" ca="1" si="439"/>
        <v>0.31776710191785057</v>
      </c>
      <c r="T22" s="9">
        <f t="shared" ca="1" si="439"/>
        <v>0.31780507671868352</v>
      </c>
      <c r="U22" s="9">
        <f t="shared" ca="1" si="439"/>
        <v>0.31785157892275245</v>
      </c>
      <c r="V22" s="9">
        <f t="shared" ca="1" si="439"/>
        <v>0.31789491979686391</v>
      </c>
      <c r="W22" s="9">
        <f t="shared" ca="1" si="439"/>
        <v>0.31792553453769351</v>
      </c>
      <c r="X22" s="9">
        <f t="shared" ca="1" si="439"/>
        <v>0.31795223547584006</v>
      </c>
      <c r="Y22" s="9">
        <f t="shared" ca="1" si="439"/>
        <v>0.31797687208301756</v>
      </c>
      <c r="Z22" s="9">
        <f t="shared" ca="1" si="439"/>
        <v>0.31799728184235354</v>
      </c>
      <c r="AA22" s="9">
        <f t="shared" ca="1" si="439"/>
        <v>0.3180138744036195</v>
      </c>
      <c r="AB22" s="9">
        <f t="shared" ca="1" si="439"/>
        <v>0.31802814796751266</v>
      </c>
      <c r="AC22" s="9">
        <f t="shared" ca="1" si="439"/>
        <v>0.31804014063735847</v>
      </c>
      <c r="AD22" s="9">
        <f t="shared" ca="1" si="439"/>
        <v>0.31804984469367653</v>
      </c>
      <c r="AE22" s="9">
        <f t="shared" ca="1" si="439"/>
        <v>0.31805766239655392</v>
      </c>
      <c r="AF22" s="9">
        <f t="shared" ca="1" si="439"/>
        <v>0.31806389610534935</v>
      </c>
      <c r="AG22" s="9">
        <f t="shared" ca="1" si="439"/>
        <v>0.31806865013192509</v>
      </c>
      <c r="AH22" s="9">
        <f t="shared" ref="AH22:AY22" ca="1" si="440">AH9/AH$12</f>
        <v>0.31807207898670126</v>
      </c>
      <c r="AI22" s="9">
        <f t="shared" ca="1" si="440"/>
        <v>0.31807435703084974</v>
      </c>
      <c r="AJ22" s="9">
        <f t="shared" ca="1" si="440"/>
        <v>0.31807560796537698</v>
      </c>
      <c r="AK22" s="9">
        <f t="shared" ca="1" si="440"/>
        <v>0.31807593092345748</v>
      </c>
      <c r="AL22" s="9">
        <f t="shared" ca="1" si="440"/>
        <v>0.31807542798611566</v>
      </c>
      <c r="AM22" s="9">
        <f t="shared" ca="1" si="440"/>
        <v>0.31807418934116477</v>
      </c>
      <c r="AN22" s="9">
        <f t="shared" ca="1" si="440"/>
        <v>0.31807228993054515</v>
      </c>
      <c r="AO22" s="9">
        <f t="shared" ca="1" si="440"/>
        <v>0.31806979750562436</v>
      </c>
      <c r="AP22" s="9">
        <f t="shared" ca="1" si="440"/>
        <v>0.31806677432528163</v>
      </c>
      <c r="AQ22" s="9">
        <f t="shared" ca="1" si="440"/>
        <v>0.31806327511088661</v>
      </c>
      <c r="AR22" s="9">
        <f t="shared" ca="1" si="440"/>
        <v>0.31805934838912558</v>
      </c>
      <c r="AS22" s="9">
        <f t="shared" ca="1" si="440"/>
        <v>0.31805503811816366</v>
      </c>
      <c r="AT22" s="9">
        <f t="shared" ca="1" si="440"/>
        <v>0.31805038387934037</v>
      </c>
      <c r="AU22" s="9">
        <f t="shared" ca="1" si="440"/>
        <v>0.31804542108772127</v>
      </c>
      <c r="AV22" s="9">
        <f t="shared" ca="1" si="440"/>
        <v>0.31804018167349618</v>
      </c>
      <c r="AW22" s="9">
        <f t="shared" ca="1" si="440"/>
        <v>0.31803469452366873</v>
      </c>
      <c r="AX22" s="9">
        <f t="shared" ca="1" si="440"/>
        <v>0.31802898571990684</v>
      </c>
      <c r="AY22" s="9">
        <f t="shared" ca="1" si="440"/>
        <v>0.31802307883580444</v>
      </c>
      <c r="AZ22" s="9">
        <f t="shared" ref="AZ22:CW22" ca="1" si="441">AZ9/AZ$12</f>
        <v>0.31801699524007671</v>
      </c>
      <c r="BA22" s="9">
        <f t="shared" ca="1" si="441"/>
        <v>0.31801075431654535</v>
      </c>
      <c r="BB22" s="9">
        <f t="shared" ca="1" si="441"/>
        <v>0.31800437365427775</v>
      </c>
      <c r="BC22" s="9">
        <f t="shared" ca="1" si="441"/>
        <v>0.31799786923486301</v>
      </c>
      <c r="BD22" s="9">
        <f t="shared" ca="1" si="441"/>
        <v>0.31799125559611602</v>
      </c>
      <c r="BE22" s="9">
        <f t="shared" ca="1" si="441"/>
        <v>0.31798454597021719</v>
      </c>
      <c r="BF22" s="9">
        <f t="shared" ca="1" si="441"/>
        <v>0.31797775240951981</v>
      </c>
      <c r="BG22" s="9">
        <f t="shared" ca="1" si="441"/>
        <v>0.31797088590090211</v>
      </c>
      <c r="BH22" s="9">
        <f t="shared" ca="1" si="441"/>
        <v>0.31796395646630965</v>
      </c>
      <c r="BI22" s="9">
        <f t="shared" ca="1" si="441"/>
        <v>0.31795697325218569</v>
      </c>
      <c r="BJ22" s="9">
        <f t="shared" ca="1" si="441"/>
        <v>0.31794994461040738</v>
      </c>
      <c r="BK22" s="9">
        <f t="shared" ca="1" si="441"/>
        <v>0.31794287817094036</v>
      </c>
      <c r="BL22" s="9">
        <f t="shared" ca="1" si="441"/>
        <v>0.31793578090682617</v>
      </c>
      <c r="BM22" s="9">
        <f t="shared" ca="1" si="441"/>
        <v>0.31792865919274699</v>
      </c>
      <c r="BN22" s="9">
        <f t="shared" ca="1" si="441"/>
        <v>0.31792151885793152</v>
      </c>
      <c r="BO22" s="9">
        <f t="shared" ca="1" si="441"/>
        <v>0.31791436523384764</v>
      </c>
      <c r="BP22" s="9">
        <f t="shared" ca="1" si="441"/>
        <v>0.31790720319727545</v>
      </c>
      <c r="BQ22" s="9">
        <f t="shared" ca="1" si="441"/>
        <v>0.31790003720930921</v>
      </c>
      <c r="BR22" s="9">
        <f t="shared" ca="1" si="441"/>
        <v>0.31789287135070149</v>
      </c>
      <c r="BS22" s="9">
        <f t="shared" ca="1" si="441"/>
        <v>0.31788570935390387</v>
      </c>
      <c r="BT22" s="9">
        <f t="shared" ca="1" si="441"/>
        <v>0.31787855463216563</v>
      </c>
      <c r="BU22" s="9">
        <f t="shared" ca="1" si="441"/>
        <v>0.31787141030598448</v>
      </c>
      <c r="BV22" s="9">
        <f t="shared" ca="1" si="441"/>
        <v>0.31786427922718297</v>
      </c>
      <c r="BW22" s="9">
        <f t="shared" ca="1" si="441"/>
        <v>0.31785716400083042</v>
      </c>
      <c r="BX22" s="9">
        <f t="shared" ca="1" si="441"/>
        <v>0.31785006700523871</v>
      </c>
      <c r="BY22" s="9">
        <f t="shared" ca="1" si="441"/>
        <v>0.31784299041020864</v>
      </c>
      <c r="BZ22" s="9">
        <f t="shared" ca="1" si="441"/>
        <v>0.31783593619369932</v>
      </c>
      <c r="CA22" s="9">
        <f t="shared" ca="1" si="441"/>
        <v>0.31782890615707138</v>
      </c>
      <c r="CB22" s="9">
        <f t="shared" ca="1" si="441"/>
        <v>0.31782190193903392</v>
      </c>
      <c r="CC22" s="9">
        <f t="shared" ca="1" si="441"/>
        <v>0.31781492502842035</v>
      </c>
      <c r="CD22" s="9">
        <f t="shared" ca="1" si="441"/>
        <v>0.31780797677590011</v>
      </c>
      <c r="CE22" s="9">
        <f t="shared" ca="1" si="441"/>
        <v>0.31780105840472023</v>
      </c>
      <c r="CF22" s="9">
        <f t="shared" ca="1" si="441"/>
        <v>0.3177941710205695</v>
      </c>
      <c r="CG22" s="9">
        <f t="shared" ca="1" si="441"/>
        <v>0.31778731562063939</v>
      </c>
      <c r="CH22" s="9">
        <f t="shared" ca="1" si="441"/>
        <v>0.31778049310195566</v>
      </c>
      <c r="CI22" s="9">
        <f t="shared" ca="1" si="441"/>
        <v>0.317773704269043</v>
      </c>
      <c r="CJ22" s="9">
        <f t="shared" ca="1" si="441"/>
        <v>0.31776694984098258</v>
      </c>
      <c r="CK22" s="9">
        <f t="shared" ca="1" si="441"/>
        <v>0.31776023045791207</v>
      </c>
      <c r="CL22" s="9">
        <f t="shared" ca="1" si="441"/>
        <v>0.317753546687019</v>
      </c>
      <c r="CM22" s="9">
        <f t="shared" ca="1" si="441"/>
        <v>0.3177468990280688</v>
      </c>
      <c r="CN22" s="9">
        <f t="shared" ca="1" si="441"/>
        <v>0.31774028791850445</v>
      </c>
      <c r="CO22" s="9">
        <f t="shared" ca="1" si="441"/>
        <v>0.31773371373815867</v>
      </c>
      <c r="CP22" s="9">
        <f t="shared" ca="1" si="441"/>
        <v>0.31772717681360657</v>
      </c>
      <c r="CQ22" s="9">
        <f t="shared" ca="1" si="441"/>
        <v>0.31772067742218696</v>
      </c>
      <c r="CR22" s="9">
        <f t="shared" ca="1" si="441"/>
        <v>0.31771421579572434</v>
      </c>
      <c r="CS22" s="9">
        <f t="shared" ca="1" si="441"/>
        <v>0.31770779212397265</v>
      </c>
      <c r="CT22" s="9">
        <f t="shared" ca="1" si="441"/>
        <v>0.31770140655780083</v>
      </c>
      <c r="CU22" s="9">
        <f t="shared" ca="1" si="441"/>
        <v>0.31769505921214602</v>
      </c>
      <c r="CV22" s="9">
        <f t="shared" ca="1" si="441"/>
        <v>0.31768875016874709</v>
      </c>
      <c r="CW22" s="9">
        <f t="shared" ca="1" si="441"/>
        <v>0.31768247947868167</v>
      </c>
      <c r="CX22" s="9">
        <f t="shared" ref="CX22:EP22" ca="1" si="442">CX9/CX$12</f>
        <v>0.31767624716471388</v>
      </c>
      <c r="CY22" s="9">
        <f t="shared" ca="1" si="442"/>
        <v>0.31767005322347791</v>
      </c>
      <c r="CZ22" s="9">
        <f t="shared" ca="1" si="442"/>
        <v>0.31766389762749903</v>
      </c>
      <c r="DA22" s="9">
        <f t="shared" ca="1" si="442"/>
        <v>0.31765778032707204</v>
      </c>
      <c r="DB22" s="9">
        <f t="shared" ca="1" si="442"/>
        <v>0.31765170125200604</v>
      </c>
      <c r="DC22" s="9">
        <f t="shared" ca="1" si="442"/>
        <v>0.31764566031324271</v>
      </c>
      <c r="DD22" s="9">
        <f t="shared" ca="1" si="442"/>
        <v>0.31763965740436284</v>
      </c>
      <c r="DE22" s="9">
        <f t="shared" ca="1" si="442"/>
        <v>0.31763369240298195</v>
      </c>
      <c r="DF22" s="9">
        <f t="shared" ca="1" si="442"/>
        <v>0.3176277651720536</v>
      </c>
      <c r="DG22" s="9">
        <f t="shared" ca="1" si="442"/>
        <v>0.31762187556107452</v>
      </c>
      <c r="DH22" s="9">
        <f t="shared" ca="1" si="442"/>
        <v>0.31761602340720968</v>
      </c>
      <c r="DI22" s="9">
        <f t="shared" ca="1" si="442"/>
        <v>0.31761020853633826</v>
      </c>
      <c r="DJ22" s="9">
        <f t="shared" ca="1" si="442"/>
        <v>0.31760443076402428</v>
      </c>
      <c r="DK22" s="9">
        <f t="shared" ca="1" si="442"/>
        <v>0.31759868989642231</v>
      </c>
      <c r="DL22" s="9">
        <f t="shared" ca="1" si="442"/>
        <v>0.31759298573111788</v>
      </c>
      <c r="DM22" s="9">
        <f t="shared" ca="1" si="442"/>
        <v>0.31758731805791168</v>
      </c>
      <c r="DN22" s="9">
        <f t="shared" ca="1" si="442"/>
        <v>0.31758168665954822</v>
      </c>
      <c r="DO22" s="9">
        <f t="shared" ca="1" si="442"/>
        <v>0.31757609131239312</v>
      </c>
      <c r="DP22" s="9">
        <f t="shared" ca="1" si="442"/>
        <v>0.31757053178706596</v>
      </c>
      <c r="DQ22" s="9">
        <f t="shared" ca="1" si="442"/>
        <v>0.31756500784902619</v>
      </c>
      <c r="DR22" s="9">
        <f t="shared" ca="1" si="442"/>
        <v>0.31755951925912151</v>
      </c>
      <c r="DS22" s="9">
        <f t="shared" ca="1" si="442"/>
        <v>0.3175540657740954</v>
      </c>
      <c r="DT22" s="9">
        <f t="shared" ca="1" si="442"/>
        <v>0.31754864714706171</v>
      </c>
      <c r="DU22" s="9">
        <f t="shared" ca="1" si="442"/>
        <v>0.31754326312794501</v>
      </c>
      <c r="DV22" s="9">
        <f t="shared" ca="1" si="442"/>
        <v>0.31753791346389032</v>
      </c>
      <c r="DW22" s="9">
        <f t="shared" ca="1" si="442"/>
        <v>0.31753259789964478</v>
      </c>
      <c r="DX22" s="9">
        <f t="shared" ca="1" si="442"/>
        <v>0.3175273161779123</v>
      </c>
      <c r="DY22" s="9">
        <f t="shared" ca="1" si="442"/>
        <v>0.31752206803968364</v>
      </c>
      <c r="DZ22" s="9">
        <f t="shared" ca="1" si="442"/>
        <v>0.31751685322454304</v>
      </c>
      <c r="EA22" s="9">
        <f t="shared" ca="1" si="442"/>
        <v>0.31751167147095194</v>
      </c>
      <c r="EB22" s="9">
        <f t="shared" ca="1" si="442"/>
        <v>0.3175065225165159</v>
      </c>
      <c r="EC22" s="9">
        <f t="shared" ca="1" si="442"/>
        <v>0.31750140609822908</v>
      </c>
      <c r="ED22" s="9">
        <f t="shared" ca="1" si="442"/>
        <v>0.317496321952702</v>
      </c>
      <c r="EE22" s="9">
        <f t="shared" ca="1" si="442"/>
        <v>0.31749126981637443</v>
      </c>
      <c r="EF22" s="9">
        <f t="shared" ca="1" si="442"/>
        <v>0.31748624942571207</v>
      </c>
      <c r="EG22" s="9">
        <f t="shared" ca="1" si="442"/>
        <v>0.31748126051738634</v>
      </c>
      <c r="EH22" s="9">
        <f t="shared" ca="1" si="442"/>
        <v>0.31747630282844475</v>
      </c>
      <c r="EI22" s="9">
        <f t="shared" ca="1" si="442"/>
        <v>0.31747137609646742</v>
      </c>
      <c r="EJ22" s="9">
        <f t="shared" ca="1" si="442"/>
        <v>0.31746648005970951</v>
      </c>
      <c r="EK22" s="9">
        <f t="shared" ca="1" si="442"/>
        <v>0.31746161445723559</v>
      </c>
      <c r="EL22" s="9">
        <f t="shared" ca="1" si="442"/>
        <v>0.31745677902904224</v>
      </c>
      <c r="EM22" s="9">
        <f t="shared" ca="1" si="442"/>
        <v>0.31745197351617244</v>
      </c>
      <c r="EN22" s="9">
        <f t="shared" ca="1" si="442"/>
        <v>0.31744719766081858</v>
      </c>
      <c r="EO22" s="9">
        <f t="shared" ca="1" si="442"/>
        <v>0.31744245120641962</v>
      </c>
      <c r="EP22" s="9">
        <f t="shared" ca="1" si="442"/>
        <v>0.31743773389774887</v>
      </c>
      <c r="EQ22" s="9">
        <f t="shared" ref="EQ22:EU22" ca="1" si="443">EQ9/EQ$12</f>
        <v>0.31743304548099538</v>
      </c>
      <c r="ER22" s="9">
        <f t="shared" ca="1" si="443"/>
        <v>0.31742838570383736</v>
      </c>
      <c r="ES22" s="9">
        <f t="shared" ca="1" si="443"/>
        <v>0.31742375431551001</v>
      </c>
      <c r="ET22" s="9">
        <f t="shared" ca="1" si="443"/>
        <v>0.31741915106686724</v>
      </c>
      <c r="EU22" s="9">
        <f t="shared" ca="1" si="443"/>
        <v>0.31741457571043846</v>
      </c>
    </row>
    <row r="23" spans="1:151">
      <c r="A23" s="4">
        <f t="shared" ref="A23:A24" si="444">A22+1</f>
        <v>2</v>
      </c>
      <c r="B23" s="9">
        <f t="shared" ref="B23:AG23" ca="1" si="445">B10/B$12</f>
        <v>0.56602132501804914</v>
      </c>
      <c r="C23" s="9">
        <f t="shared" ca="1" si="445"/>
        <v>6.8533362074432225E-2</v>
      </c>
      <c r="D23" s="9">
        <f t="shared" ca="1" si="445"/>
        <v>3.6811642391559721E-2</v>
      </c>
      <c r="E23" s="9">
        <f t="shared" ca="1" si="445"/>
        <v>0.20473354137590294</v>
      </c>
      <c r="F23" s="9">
        <f t="shared" ca="1" si="445"/>
        <v>0.17142416635384622</v>
      </c>
      <c r="G23" s="9">
        <f t="shared" ca="1" si="445"/>
        <v>0.15514220039780269</v>
      </c>
      <c r="H23" s="9">
        <f t="shared" ca="1" si="445"/>
        <v>0.16829229393059181</v>
      </c>
      <c r="I23" s="9">
        <f t="shared" ca="1" si="445"/>
        <v>0.1780635378376568</v>
      </c>
      <c r="J23" s="9">
        <f t="shared" ca="1" si="445"/>
        <v>0.17585352229301215</v>
      </c>
      <c r="K23" s="9">
        <f t="shared" ca="1" si="445"/>
        <v>0.17806934734182114</v>
      </c>
      <c r="L23" s="9">
        <f t="shared" ca="1" si="445"/>
        <v>0.18146283242265918</v>
      </c>
      <c r="M23" s="9">
        <f t="shared" ca="1" si="445"/>
        <v>0.18335601940775048</v>
      </c>
      <c r="N23" s="9">
        <f t="shared" ca="1" si="445"/>
        <v>0.18460050918047588</v>
      </c>
      <c r="O23" s="9">
        <f t="shared" ca="1" si="445"/>
        <v>0.18629227160086387</v>
      </c>
      <c r="P23" s="9">
        <f t="shared" ca="1" si="445"/>
        <v>0.18778929245657525</v>
      </c>
      <c r="Q23" s="9">
        <f t="shared" ca="1" si="445"/>
        <v>0.18901450052529192</v>
      </c>
      <c r="R23" s="9">
        <f t="shared" ca="1" si="445"/>
        <v>0.19016559719116749</v>
      </c>
      <c r="S23" s="9">
        <f t="shared" ca="1" si="445"/>
        <v>0.19128042408736237</v>
      </c>
      <c r="T23" s="9">
        <f t="shared" ca="1" si="445"/>
        <v>0.19228844682657331</v>
      </c>
      <c r="U23" s="9">
        <f t="shared" ca="1" si="445"/>
        <v>0.19321700234933445</v>
      </c>
      <c r="V23" s="9">
        <f t="shared" ca="1" si="445"/>
        <v>0.19409315406263936</v>
      </c>
      <c r="W23" s="9">
        <f t="shared" ca="1" si="445"/>
        <v>0.19491583569211532</v>
      </c>
      <c r="X23" s="9">
        <f t="shared" ca="1" si="445"/>
        <v>0.1956843088210703</v>
      </c>
      <c r="Y23" s="9">
        <f t="shared" ca="1" si="445"/>
        <v>0.19640839657408077</v>
      </c>
      <c r="Z23" s="9">
        <f t="shared" ca="1" si="445"/>
        <v>0.19709310253079598</v>
      </c>
      <c r="AA23" s="9">
        <f t="shared" ca="1" si="445"/>
        <v>0.19774046166328804</v>
      </c>
      <c r="AB23" s="9">
        <f t="shared" ca="1" si="445"/>
        <v>0.19835368456440042</v>
      </c>
      <c r="AC23" s="9">
        <f t="shared" ca="1" si="445"/>
        <v>0.1989363175813128</v>
      </c>
      <c r="AD23" s="9">
        <f t="shared" ca="1" si="445"/>
        <v>0.19949070458172069</v>
      </c>
      <c r="AE23" s="9">
        <f t="shared" ca="1" si="445"/>
        <v>0.20001890561905006</v>
      </c>
      <c r="AF23" s="9">
        <f t="shared" ca="1" si="445"/>
        <v>0.20052301918207696</v>
      </c>
      <c r="AG23" s="9">
        <f t="shared" ca="1" si="445"/>
        <v>0.20100489251635212</v>
      </c>
      <c r="AH23" s="9">
        <f t="shared" ref="AH23:AY23" ca="1" si="446">AH10/AH$12</f>
        <v>0.20146608324130832</v>
      </c>
      <c r="AI23" s="9">
        <f t="shared" ca="1" si="446"/>
        <v>0.20190803631919058</v>
      </c>
      <c r="AJ23" s="9">
        <f t="shared" ca="1" si="446"/>
        <v>0.20233208281343207</v>
      </c>
      <c r="AK23" s="9">
        <f t="shared" ca="1" si="446"/>
        <v>0.20273941017623179</v>
      </c>
      <c r="AL23" s="9">
        <f t="shared" ca="1" si="446"/>
        <v>0.20313109153811421</v>
      </c>
      <c r="AM23" s="9">
        <f t="shared" ca="1" si="446"/>
        <v>0.20350811432832153</v>
      </c>
      <c r="AN23" s="9">
        <f t="shared" ca="1" si="446"/>
        <v>0.203871380438224</v>
      </c>
      <c r="AO23" s="9">
        <f t="shared" ca="1" si="446"/>
        <v>0.20422171238434766</v>
      </c>
      <c r="AP23" s="9">
        <f t="shared" ca="1" si="446"/>
        <v>0.20455986571236631</v>
      </c>
      <c r="AQ23" s="9">
        <f t="shared" ca="1" si="446"/>
        <v>0.20488653644407026</v>
      </c>
      <c r="AR23" s="9">
        <f t="shared" ca="1" si="446"/>
        <v>0.2052023653370289</v>
      </c>
      <c r="AS23" s="9">
        <f t="shared" ca="1" si="446"/>
        <v>0.20550794364972674</v>
      </c>
      <c r="AT23" s="9">
        <f t="shared" ca="1" si="446"/>
        <v>0.2058038185206667</v>
      </c>
      <c r="AU23" s="9">
        <f t="shared" ca="1" si="446"/>
        <v>0.20609049692819537</v>
      </c>
      <c r="AV23" s="9">
        <f t="shared" ca="1" si="446"/>
        <v>0.20636844923097181</v>
      </c>
      <c r="AW23" s="9">
        <f t="shared" ca="1" si="446"/>
        <v>0.20663811263942572</v>
      </c>
      <c r="AX23" s="9">
        <f t="shared" ca="1" si="446"/>
        <v>0.20689989420684771</v>
      </c>
      <c r="AY23" s="9">
        <f t="shared" ca="1" si="446"/>
        <v>0.20715417340302522</v>
      </c>
      <c r="AZ23" s="9">
        <f t="shared" ref="AZ23:CW23" ca="1" si="447">AZ10/AZ$12</f>
        <v>0.20740130447615313</v>
      </c>
      <c r="BA23" s="9">
        <f t="shared" ca="1" si="447"/>
        <v>0.20764161859875641</v>
      </c>
      <c r="BB23" s="9">
        <f t="shared" ca="1" si="447"/>
        <v>0.20787542576552714</v>
      </c>
      <c r="BC23" s="9">
        <f t="shared" ca="1" si="447"/>
        <v>0.20810301650018229</v>
      </c>
      <c r="BD23" s="9">
        <f t="shared" ca="1" si="447"/>
        <v>0.20832466340851738</v>
      </c>
      <c r="BE23" s="9">
        <f t="shared" ca="1" si="447"/>
        <v>0.20854062258115993</v>
      </c>
      <c r="BF23" s="9">
        <f t="shared" ca="1" si="447"/>
        <v>0.20875113485951949</v>
      </c>
      <c r="BG23" s="9">
        <f t="shared" ca="1" si="447"/>
        <v>0.20895642698655656</v>
      </c>
      <c r="BH23" s="9">
        <f t="shared" ca="1" si="447"/>
        <v>0.20915671265433614</v>
      </c>
      <c r="BI23" s="9">
        <f t="shared" ca="1" si="447"/>
        <v>0.20935219345682188</v>
      </c>
      <c r="BJ23" s="9">
        <f t="shared" ca="1" si="447"/>
        <v>0.20954305975848556</v>
      </c>
      <c r="BK23" s="9">
        <f t="shared" ca="1" si="447"/>
        <v>0.20972949148823231</v>
      </c>
      <c r="BL23" s="9">
        <f t="shared" ca="1" si="447"/>
        <v>0.20991165886566418</v>
      </c>
      <c r="BM23" s="9">
        <f t="shared" ca="1" si="447"/>
        <v>0.21008972306618473</v>
      </c>
      <c r="BN23" s="9">
        <f t="shared" ca="1" si="447"/>
        <v>0.21026383683118385</v>
      </c>
      <c r="BO23" s="9">
        <f t="shared" ca="1" si="447"/>
        <v>0.21043414502862742</v>
      </c>
      <c r="BP23" s="9">
        <f t="shared" ca="1" si="447"/>
        <v>0.21060078516864433</v>
      </c>
      <c r="BQ23" s="9">
        <f t="shared" ca="1" si="447"/>
        <v>0.21076388787834249</v>
      </c>
      <c r="BR23" s="9">
        <f t="shared" ca="1" si="447"/>
        <v>0.21092357733964948</v>
      </c>
      <c r="BS23" s="9">
        <f t="shared" ca="1" si="447"/>
        <v>0.21107997169353063</v>
      </c>
      <c r="BT23" s="9">
        <f t="shared" ca="1" si="447"/>
        <v>0.21123318341357875</v>
      </c>
      <c r="BU23" s="9">
        <f t="shared" ca="1" si="447"/>
        <v>0.21138331965170037</v>
      </c>
      <c r="BV23" s="9">
        <f t="shared" ca="1" si="447"/>
        <v>0.2115304825583274</v>
      </c>
      <c r="BW23" s="9">
        <f t="shared" ca="1" si="447"/>
        <v>0.211674769579352</v>
      </c>
      <c r="BX23" s="9">
        <f t="shared" ca="1" si="447"/>
        <v>0.21181627373175127</v>
      </c>
      <c r="BY23" s="9">
        <f t="shared" ca="1" si="447"/>
        <v>0.21195508385969761</v>
      </c>
      <c r="BZ23" s="9">
        <f t="shared" ca="1" si="447"/>
        <v>0.21209128487276344</v>
      </c>
      <c r="CA23" s="9">
        <f t="shared" ca="1" si="447"/>
        <v>0.21222495796768628</v>
      </c>
      <c r="CB23" s="9">
        <f t="shared" ca="1" si="447"/>
        <v>0.21235618083501945</v>
      </c>
      <c r="CC23" s="9">
        <f t="shared" ca="1" si="447"/>
        <v>0.21248502785187079</v>
      </c>
      <c r="CD23" s="9">
        <f t="shared" ca="1" si="447"/>
        <v>0.21261157026182728</v>
      </c>
      <c r="CE23" s="9">
        <f t="shared" ca="1" si="447"/>
        <v>0.21273587634306046</v>
      </c>
      <c r="CF23" s="9">
        <f t="shared" ca="1" si="447"/>
        <v>0.21285801156551881</v>
      </c>
      <c r="CG23" s="9">
        <f t="shared" ca="1" si="447"/>
        <v>0.2129780387380395</v>
      </c>
      <c r="CH23" s="9">
        <f t="shared" ca="1" si="447"/>
        <v>0.21309601814613172</v>
      </c>
      <c r="CI23" s="9">
        <f t="shared" ca="1" si="447"/>
        <v>0.21321200768112678</v>
      </c>
      <c r="CJ23" s="9">
        <f t="shared" ca="1" si="447"/>
        <v>0.21332606296132567</v>
      </c>
      <c r="CK23" s="9">
        <f t="shared" ca="1" si="447"/>
        <v>0.21343823744572585</v>
      </c>
      <c r="CL23" s="9">
        <f t="shared" ca="1" si="447"/>
        <v>0.21354858254085818</v>
      </c>
      <c r="CM23" s="9">
        <f t="shared" ca="1" si="447"/>
        <v>0.21365714770122285</v>
      </c>
      <c r="CN23" s="9">
        <f t="shared" ca="1" si="447"/>
        <v>0.21376398052377465</v>
      </c>
      <c r="CO23" s="9">
        <f t="shared" ca="1" si="447"/>
        <v>0.21386912683686599</v>
      </c>
      <c r="CP23" s="9">
        <f t="shared" ca="1" si="447"/>
        <v>0.21397263078403533</v>
      </c>
      <c r="CQ23" s="9">
        <f t="shared" ca="1" si="447"/>
        <v>0.21407453490298436</v>
      </c>
      <c r="CR23" s="9">
        <f t="shared" ca="1" si="447"/>
        <v>0.21417488020006928</v>
      </c>
      <c r="CS23" s="9">
        <f t="shared" ca="1" si="447"/>
        <v>0.2142737062206074</v>
      </c>
      <c r="CT23" s="9">
        <f t="shared" ca="1" si="447"/>
        <v>0.21437105111527138</v>
      </c>
      <c r="CU23" s="9">
        <f t="shared" ca="1" si="447"/>
        <v>0.21446695170282579</v>
      </c>
      <c r="CV23" s="9">
        <f t="shared" ca="1" si="447"/>
        <v>0.21456144352944537</v>
      </c>
      <c r="CW23" s="9">
        <f t="shared" ca="1" si="447"/>
        <v>0.21465456092482912</v>
      </c>
      <c r="CX23" s="9">
        <f t="shared" ref="CX23:EP23" ca="1" si="448">CX10/CX$12</f>
        <v>0.21474633705531707</v>
      </c>
      <c r="CY23" s="9">
        <f t="shared" ca="1" si="448"/>
        <v>0.21483680397419269</v>
      </c>
      <c r="CZ23" s="9">
        <f t="shared" ca="1" si="448"/>
        <v>0.21492599266935133</v>
      </c>
      <c r="DA23" s="9">
        <f t="shared" ca="1" si="448"/>
        <v>0.21501393310849071</v>
      </c>
      <c r="DB23" s="9">
        <f t="shared" ca="1" si="448"/>
        <v>0.2151006542819783</v>
      </c>
      <c r="DC23" s="9">
        <f t="shared" ca="1" si="448"/>
        <v>0.21518618424353417</v>
      </c>
      <c r="DD23" s="9">
        <f t="shared" ca="1" si="448"/>
        <v>0.21527055014885974</v>
      </c>
      <c r="DE23" s="9">
        <f t="shared" ca="1" si="448"/>
        <v>0.21535377829233501</v>
      </c>
      <c r="DF23" s="9">
        <f t="shared" ca="1" si="448"/>
        <v>0.21543589414189471</v>
      </c>
      <c r="DG23" s="9">
        <f t="shared" ca="1" si="448"/>
        <v>0.21551692237219486</v>
      </c>
      <c r="DH23" s="9">
        <f t="shared" ca="1" si="448"/>
        <v>0.21559688689616047</v>
      </c>
      <c r="DI23" s="9">
        <f t="shared" ca="1" si="448"/>
        <v>0.2156758108950142</v>
      </c>
      <c r="DJ23" s="9">
        <f t="shared" ca="1" si="448"/>
        <v>0.21575371684686756</v>
      </c>
      <c r="DK23" s="9">
        <f t="shared" ca="1" si="448"/>
        <v>0.21583062655395641</v>
      </c>
      <c r="DL23" s="9">
        <f t="shared" ca="1" si="448"/>
        <v>0.21590656116859605</v>
      </c>
      <c r="DM23" s="9">
        <f t="shared" ca="1" si="448"/>
        <v>0.21598154121792718</v>
      </c>
      <c r="DN23" s="9">
        <f t="shared" ca="1" si="448"/>
        <v>0.21605558662751834</v>
      </c>
      <c r="DO23" s="9">
        <f t="shared" ca="1" si="448"/>
        <v>0.21612871674388648</v>
      </c>
      <c r="DP23" s="9">
        <f t="shared" ca="1" si="448"/>
        <v>0.21620095035599382</v>
      </c>
      <c r="DQ23" s="9">
        <f t="shared" ca="1" si="448"/>
        <v>0.21627230571577755</v>
      </c>
      <c r="DR23" s="9">
        <f t="shared" ca="1" si="448"/>
        <v>0.21634280055775942</v>
      </c>
      <c r="DS23" s="9">
        <f t="shared" ca="1" si="448"/>
        <v>0.21641245211778845</v>
      </c>
      <c r="DT23" s="9">
        <f t="shared" ca="1" si="448"/>
        <v>0.21648127715095766</v>
      </c>
      <c r="DU23" s="9">
        <f t="shared" ca="1" si="448"/>
        <v>0.21654929194874004</v>
      </c>
      <c r="DV23" s="9">
        <f t="shared" ca="1" si="448"/>
        <v>0.21661651235538257</v>
      </c>
      <c r="DW23" s="9">
        <f t="shared" ca="1" si="448"/>
        <v>0.21668295378359631</v>
      </c>
      <c r="DX23" s="9">
        <f t="shared" ca="1" si="448"/>
        <v>0.21674863122957794</v>
      </c>
      <c r="DY23" s="9">
        <f t="shared" ca="1" si="448"/>
        <v>0.21681355928739654</v>
      </c>
      <c r="DZ23" s="9">
        <f t="shared" ca="1" si="448"/>
        <v>0.21687775216277688</v>
      </c>
      <c r="EA23" s="9">
        <f t="shared" ca="1" si="448"/>
        <v>0.21694122368630855</v>
      </c>
      <c r="EB23" s="9">
        <f t="shared" ca="1" si="448"/>
        <v>0.2170039873261087</v>
      </c>
      <c r="EC23" s="9">
        <f t="shared" ca="1" si="448"/>
        <v>0.2170660561999681</v>
      </c>
      <c r="ED23" s="9">
        <f t="shared" ca="1" si="448"/>
        <v>0.21712744308699997</v>
      </c>
      <c r="EE23" s="9">
        <f t="shared" ca="1" si="448"/>
        <v>0.21718816043881883</v>
      </c>
      <c r="EF23" s="9">
        <f t="shared" ca="1" si="448"/>
        <v>0.21724822039027308</v>
      </c>
      <c r="EG23" s="9">
        <f t="shared" ca="1" si="448"/>
        <v>0.21730763476974813</v>
      </c>
      <c r="EH23" s="9">
        <f t="shared" ca="1" si="448"/>
        <v>0.21736641510906241</v>
      </c>
      <c r="EI23" s="9">
        <f t="shared" ca="1" si="448"/>
        <v>0.21742457265297618</v>
      </c>
      <c r="EJ23" s="9">
        <f t="shared" ca="1" si="448"/>
        <v>0.21748211836833051</v>
      </c>
      <c r="EK23" s="9">
        <f t="shared" ca="1" si="448"/>
        <v>0.21753906295282993</v>
      </c>
      <c r="EL23" s="9">
        <f t="shared" ca="1" si="448"/>
        <v>0.21759541684349024</v>
      </c>
      <c r="EM23" s="9">
        <f t="shared" ca="1" si="448"/>
        <v>0.2176511902247632</v>
      </c>
      <c r="EN23" s="9">
        <f t="shared" ca="1" si="448"/>
        <v>0.21770639303635431</v>
      </c>
      <c r="EO23" s="9">
        <f t="shared" ca="1" si="448"/>
        <v>0.21776103498074453</v>
      </c>
      <c r="EP23" s="9">
        <f t="shared" ca="1" si="448"/>
        <v>0.21781512553043297</v>
      </c>
      <c r="EQ23" s="9">
        <f t="shared" ref="EQ23:EU23" ca="1" si="449">EQ10/EQ$12</f>
        <v>0.21786867393491044</v>
      </c>
      <c r="ER23" s="9">
        <f t="shared" ca="1" si="449"/>
        <v>0.21792168922737518</v>
      </c>
      <c r="ES23" s="9">
        <f t="shared" ca="1" si="449"/>
        <v>0.21797418023120343</v>
      </c>
      <c r="ET23" s="9">
        <f t="shared" ca="1" si="449"/>
        <v>0.21802615556618388</v>
      </c>
      <c r="EU23" s="9">
        <f t="shared" ca="1" si="449"/>
        <v>0.2180776236545286</v>
      </c>
    </row>
    <row r="24" spans="1:151">
      <c r="A24" s="4">
        <f t="shared" si="444"/>
        <v>3</v>
      </c>
      <c r="B24" s="9">
        <f t="shared" ref="B24:AG24" ca="1" si="450">B11/B$12</f>
        <v>0.13625124264690683</v>
      </c>
      <c r="C24" s="9">
        <f t="shared" ca="1" si="450"/>
        <v>0.16481832441047134</v>
      </c>
      <c r="D24" s="9">
        <f t="shared" ca="1" si="450"/>
        <v>2.1587346978376699E-2</v>
      </c>
      <c r="E24" s="9">
        <f t="shared" ca="1" si="450"/>
        <v>1.218928556011911E-2</v>
      </c>
      <c r="F24" s="9">
        <f t="shared" ca="1" si="450"/>
        <v>7.024829510517315E-2</v>
      </c>
      <c r="G24" s="9">
        <f t="shared" ca="1" si="450"/>
        <v>6.0435174682205654E-2</v>
      </c>
      <c r="H24" s="9">
        <f t="shared" ca="1" si="450"/>
        <v>5.5888390306360287E-2</v>
      </c>
      <c r="I24" s="9">
        <f t="shared" ca="1" si="450"/>
        <v>6.1710929359857655E-2</v>
      </c>
      <c r="J24" s="9">
        <f t="shared" ca="1" si="450"/>
        <v>6.6276751056199804E-2</v>
      </c>
      <c r="K24" s="9">
        <f t="shared" ca="1" si="450"/>
        <v>6.629838659658234E-2</v>
      </c>
      <c r="L24" s="9">
        <f t="shared" ca="1" si="450"/>
        <v>6.7887078551787119E-2</v>
      </c>
      <c r="M24" s="9">
        <f t="shared" ca="1" si="450"/>
        <v>6.9864598000205683E-2</v>
      </c>
      <c r="N24" s="9">
        <f t="shared" ca="1" si="450"/>
        <v>7.1214512538807034E-2</v>
      </c>
      <c r="O24" s="9">
        <f t="shared" ca="1" si="450"/>
        <v>7.2264194325694961E-2</v>
      </c>
      <c r="P24" s="9">
        <f t="shared" ca="1" si="450"/>
        <v>7.3447577153298346E-2</v>
      </c>
      <c r="Q24" s="9">
        <f t="shared" ca="1" si="450"/>
        <v>7.4519560498640974E-2</v>
      </c>
      <c r="R24" s="9">
        <f t="shared" ca="1" si="450"/>
        <v>7.5452744316078471E-2</v>
      </c>
      <c r="S24" s="9">
        <f t="shared" ca="1" si="450"/>
        <v>7.6328671479968691E-2</v>
      </c>
      <c r="T24" s="9">
        <f t="shared" ca="1" si="450"/>
        <v>7.7165562312983632E-2</v>
      </c>
      <c r="U24" s="9">
        <f t="shared" ca="1" si="450"/>
        <v>7.7937494823024381E-2</v>
      </c>
      <c r="V24" s="9">
        <f t="shared" ca="1" si="450"/>
        <v>7.8657461304447104E-2</v>
      </c>
      <c r="W24" s="9">
        <f t="shared" ca="1" si="450"/>
        <v>7.9338227760738303E-2</v>
      </c>
      <c r="X24" s="9">
        <f t="shared" ca="1" si="450"/>
        <v>7.9980931470124389E-2</v>
      </c>
      <c r="Y24" s="9">
        <f t="shared" ca="1" si="450"/>
        <v>8.0586614470009213E-2</v>
      </c>
      <c r="Z24" s="9">
        <f t="shared" ca="1" si="450"/>
        <v>8.1160494452099483E-2</v>
      </c>
      <c r="AA24" s="9">
        <f t="shared" ca="1" si="450"/>
        <v>8.1705690185553806E-2</v>
      </c>
      <c r="AB24" s="9">
        <f t="shared" ca="1" si="450"/>
        <v>8.2223978921116589E-2</v>
      </c>
      <c r="AC24" s="9">
        <f t="shared" ca="1" si="450"/>
        <v>8.2717524299050424E-2</v>
      </c>
      <c r="AD24" s="9">
        <f t="shared" ca="1" si="450"/>
        <v>8.3188547797054063E-2</v>
      </c>
      <c r="AE24" s="9">
        <f t="shared" ca="1" si="450"/>
        <v>8.3638698099957109E-2</v>
      </c>
      <c r="AF24" s="9">
        <f t="shared" ca="1" si="450"/>
        <v>8.4069441048333582E-2</v>
      </c>
      <c r="AG24" s="9">
        <f t="shared" ca="1" si="450"/>
        <v>8.4482202918534699E-2</v>
      </c>
      <c r="AH24" s="9">
        <f t="shared" ref="AH24:AY24" ca="1" si="451">AH11/AH$12</f>
        <v>8.4878255875082881E-2</v>
      </c>
      <c r="AI24" s="9">
        <f t="shared" ca="1" si="451"/>
        <v>8.5258706939969842E-2</v>
      </c>
      <c r="AJ24" s="9">
        <f t="shared" ca="1" si="451"/>
        <v>8.562457723529443E-2</v>
      </c>
      <c r="AK24" s="9">
        <f t="shared" ca="1" si="451"/>
        <v>8.5976805728087274E-2</v>
      </c>
      <c r="AL24" s="9">
        <f t="shared" ca="1" si="451"/>
        <v>8.6316240207859288E-2</v>
      </c>
      <c r="AM24" s="9">
        <f t="shared" ca="1" si="451"/>
        <v>8.6643652758950349E-2</v>
      </c>
      <c r="AN24" s="9">
        <f t="shared" ca="1" si="451"/>
        <v>8.6959754650181964E-2</v>
      </c>
      <c r="AO24" s="9">
        <f t="shared" ca="1" si="451"/>
        <v>8.7265198797724861E-2</v>
      </c>
      <c r="AP24" s="9">
        <f t="shared" ca="1" si="451"/>
        <v>8.7560584476541803E-2</v>
      </c>
      <c r="AQ24" s="9">
        <f t="shared" ca="1" si="451"/>
        <v>8.7846464462644769E-2</v>
      </c>
      <c r="AR24" s="9">
        <f t="shared" ca="1" si="451"/>
        <v>8.8123349857303371E-2</v>
      </c>
      <c r="AS24" s="9">
        <f t="shared" ca="1" si="451"/>
        <v>8.8391713362206761E-2</v>
      </c>
      <c r="AT24" s="9">
        <f t="shared" ca="1" si="451"/>
        <v>8.8651993042224334E-2</v>
      </c>
      <c r="AU24" s="9">
        <f t="shared" ca="1" si="451"/>
        <v>8.8904595788268009E-2</v>
      </c>
      <c r="AV24" s="9">
        <f t="shared" ca="1" si="451"/>
        <v>8.9149900050662936E-2</v>
      </c>
      <c r="AW24" s="9">
        <f t="shared" ca="1" si="451"/>
        <v>8.938825828658252E-2</v>
      </c>
      <c r="AX24" s="9">
        <f t="shared" ca="1" si="451"/>
        <v>8.9619999285996288E-2</v>
      </c>
      <c r="AY24" s="9">
        <f t="shared" ca="1" si="451"/>
        <v>8.9845430209393021E-2</v>
      </c>
      <c r="AZ24" s="9">
        <f t="shared" ref="AZ24:CW24" ca="1" si="452">AZ11/AZ$12</f>
        <v>9.006483837325327E-2</v>
      </c>
      <c r="BA24" s="9">
        <f t="shared" ca="1" si="452"/>
        <v>9.027849288035962E-2</v>
      </c>
      <c r="BB24" s="9">
        <f t="shared" ca="1" si="452"/>
        <v>9.0486646100223792E-2</v>
      </c>
      <c r="BC24" s="9">
        <f t="shared" ca="1" si="452"/>
        <v>9.0689534991733586E-2</v>
      </c>
      <c r="BD24" s="9">
        <f t="shared" ca="1" si="452"/>
        <v>9.0887382298104835E-2</v>
      </c>
      <c r="BE24" s="9">
        <f t="shared" ca="1" si="452"/>
        <v>9.1080397635004307E-2</v>
      </c>
      <c r="BF24" s="9">
        <f t="shared" ca="1" si="452"/>
        <v>9.1268778477482423E-2</v>
      </c>
      <c r="BG24" s="9">
        <f t="shared" ca="1" si="452"/>
        <v>9.1452711055198727E-2</v>
      </c>
      <c r="BH24" s="9">
        <f t="shared" ca="1" si="452"/>
        <v>9.1632371168566346E-2</v>
      </c>
      <c r="BI24" s="9">
        <f t="shared" ca="1" si="452"/>
        <v>9.1807924933871229E-2</v>
      </c>
      <c r="BJ24" s="9">
        <f t="shared" ca="1" si="452"/>
        <v>9.1979529463564608E-2</v>
      </c>
      <c r="BK24" s="9">
        <f t="shared" ca="1" si="452"/>
        <v>9.2147333488578592E-2</v>
      </c>
      <c r="BL24" s="9">
        <f t="shared" ca="1" si="452"/>
        <v>9.2311477928806646E-2</v>
      </c>
      <c r="BM24" s="9">
        <f t="shared" ca="1" si="452"/>
        <v>9.2472096416592167E-2</v>
      </c>
      <c r="BN24" s="9">
        <f t="shared" ca="1" si="452"/>
        <v>9.2629315777654458E-2</v>
      </c>
      <c r="BO24" s="9">
        <f t="shared" ca="1" si="452"/>
        <v>9.2783256473602346E-2</v>
      </c>
      <c r="BP24" s="9">
        <f t="shared" ca="1" si="452"/>
        <v>9.2934033009639164E-2</v>
      </c>
      <c r="BQ24" s="9">
        <f t="shared" ca="1" si="452"/>
        <v>9.3081754310614412E-2</v>
      </c>
      <c r="BR24" s="9">
        <f t="shared" ca="1" si="452"/>
        <v>9.3226524068304381E-2</v>
      </c>
      <c r="BS24" s="9">
        <f t="shared" ca="1" si="452"/>
        <v>9.3368441062512852E-2</v>
      </c>
      <c r="BT24" s="9">
        <f t="shared" ca="1" si="452"/>
        <v>9.3507599458297785E-2</v>
      </c>
      <c r="BU24" s="9">
        <f t="shared" ca="1" si="452"/>
        <v>9.3644089081393669E-2</v>
      </c>
      <c r="BV24" s="9">
        <f t="shared" ca="1" si="452"/>
        <v>9.3777995673708509E-2</v>
      </c>
      <c r="BW24" s="9">
        <f t="shared" ca="1" si="452"/>
        <v>9.3909401130581605E-2</v>
      </c>
      <c r="BX24" s="9">
        <f t="shared" ca="1" si="452"/>
        <v>9.4038383721329333E-2</v>
      </c>
      <c r="BY24" s="9">
        <f t="shared" ca="1" si="452"/>
        <v>9.4165018294452743E-2</v>
      </c>
      <c r="BZ24" s="9">
        <f t="shared" ca="1" si="452"/>
        <v>9.4289376468761329E-2</v>
      </c>
      <c r="CA24" s="9">
        <f t="shared" ca="1" si="452"/>
        <v>9.4411526811542648E-2</v>
      </c>
      <c r="CB24" s="9">
        <f t="shared" ca="1" si="452"/>
        <v>9.4531535004807682E-2</v>
      </c>
      <c r="CC24" s="9">
        <f t="shared" ca="1" si="452"/>
        <v>9.4649464000547121E-2</v>
      </c>
      <c r="CD24" s="9">
        <f t="shared" ca="1" si="452"/>
        <v>9.4765374165849195E-2</v>
      </c>
      <c r="CE24" s="9">
        <f t="shared" ca="1" si="452"/>
        <v>9.4879323418655973E-2</v>
      </c>
      <c r="CF24" s="9">
        <f t="shared" ca="1" si="452"/>
        <v>9.499136735486588E-2</v>
      </c>
      <c r="CG24" s="9">
        <f t="shared" ca="1" si="452"/>
        <v>9.5101559367428506E-2</v>
      </c>
      <c r="CH24" s="9">
        <f t="shared" ca="1" si="452"/>
        <v>9.520995075802452E-2</v>
      </c>
      <c r="CI24" s="9">
        <f t="shared" ca="1" si="452"/>
        <v>9.5316590841870774E-2</v>
      </c>
      <c r="CJ24" s="9">
        <f t="shared" ca="1" si="452"/>
        <v>9.5421527046148036E-2</v>
      </c>
      <c r="CK24" s="9">
        <f t="shared" ca="1" si="452"/>
        <v>9.5524805002505667E-2</v>
      </c>
      <c r="CL24" s="9">
        <f t="shared" ca="1" si="452"/>
        <v>9.5626468634062226E-2</v>
      </c>
      <c r="CM24" s="9">
        <f t="shared" ca="1" si="452"/>
        <v>9.5726560237285235E-2</v>
      </c>
      <c r="CN24" s="9">
        <f t="shared" ca="1" si="452"/>
        <v>9.5825120559104485E-2</v>
      </c>
      <c r="CO24" s="9">
        <f t="shared" ca="1" si="452"/>
        <v>9.5922188869584687E-2</v>
      </c>
      <c r="CP24" s="9">
        <f t="shared" ca="1" si="452"/>
        <v>9.6017803030456053E-2</v>
      </c>
      <c r="CQ24" s="9">
        <f t="shared" ca="1" si="452"/>
        <v>9.6111999559782321E-2</v>
      </c>
      <c r="CR24" s="9">
        <f t="shared" ca="1" si="452"/>
        <v>9.6204813693019628E-2</v>
      </c>
      <c r="CS24" s="9">
        <f t="shared" ca="1" si="452"/>
        <v>9.6296279440703222E-2</v>
      </c>
      <c r="CT24" s="9">
        <f t="shared" ca="1" si="452"/>
        <v>9.6386429642981608E-2</v>
      </c>
      <c r="CU24" s="9">
        <f t="shared" ca="1" si="452"/>
        <v>9.6475296021199447E-2</v>
      </c>
      <c r="CV24" s="9">
        <f t="shared" ca="1" si="452"/>
        <v>9.6562909226716453E-2</v>
      </c>
      <c r="CW24" s="9">
        <f t="shared" ca="1" si="452"/>
        <v>9.6649298887137552E-2</v>
      </c>
      <c r="CX24" s="9">
        <f t="shared" ref="CX24:EP24" ca="1" si="453">CX11/CX$12</f>
        <v>9.6734493650113884E-2</v>
      </c>
      <c r="CY24" s="9">
        <f t="shared" ca="1" si="453"/>
        <v>9.6818521224866255E-2</v>
      </c>
      <c r="CZ24" s="9">
        <f t="shared" ca="1" si="453"/>
        <v>9.6901408421567983E-2</v>
      </c>
      <c r="DA24" s="9">
        <f t="shared" ca="1" si="453"/>
        <v>9.6983181188719514E-2</v>
      </c>
      <c r="DB24" s="9">
        <f t="shared" ca="1" si="453"/>
        <v>9.7063864648632356E-2</v>
      </c>
      <c r="DC24" s="9">
        <f t="shared" ca="1" si="453"/>
        <v>9.7143483131136368E-2</v>
      </c>
      <c r="DD24" s="9">
        <f t="shared" ca="1" si="453"/>
        <v>9.7222060205614719E-2</v>
      </c>
      <c r="DE24" s="9">
        <f t="shared" ca="1" si="453"/>
        <v>9.7299618711463337E-2</v>
      </c>
      <c r="DF24" s="9">
        <f t="shared" ca="1" si="453"/>
        <v>9.7376180787066877E-2</v>
      </c>
      <c r="DG24" s="9">
        <f t="shared" ca="1" si="453"/>
        <v>9.7451767897374503E-2</v>
      </c>
      <c r="DH24" s="9">
        <f t="shared" ca="1" si="453"/>
        <v>9.7526400860157653E-2</v>
      </c>
      <c r="DI24" s="9">
        <f t="shared" ca="1" si="453"/>
        <v>9.7600099871020488E-2</v>
      </c>
      <c r="DJ24" s="9">
        <f t="shared" ca="1" si="453"/>
        <v>9.7672884527235534E-2</v>
      </c>
      <c r="DK24" s="9">
        <f t="shared" ca="1" si="453"/>
        <v>9.774477385046812E-2</v>
      </c>
      <c r="DL24" s="9">
        <f t="shared" ca="1" si="453"/>
        <v>9.7815786308450045E-2</v>
      </c>
      <c r="DM24" s="9">
        <f t="shared" ca="1" si="453"/>
        <v>9.7885939835660643E-2</v>
      </c>
      <c r="DN24" s="9">
        <f t="shared" ca="1" si="453"/>
        <v>9.7955251853068137E-2</v>
      </c>
      <c r="DO24" s="9">
        <f t="shared" ca="1" si="453"/>
        <v>9.8023739286981562E-2</v>
      </c>
      <c r="DP24" s="9">
        <f t="shared" ca="1" si="453"/>
        <v>9.8091418587060289E-2</v>
      </c>
      <c r="DQ24" s="9">
        <f t="shared" ca="1" si="453"/>
        <v>9.8158305743525368E-2</v>
      </c>
      <c r="DR24" s="9">
        <f t="shared" ca="1" si="453"/>
        <v>9.822441630361492E-2</v>
      </c>
      <c r="DS24" s="9">
        <f t="shared" ca="1" si="453"/>
        <v>9.828976538732126E-2</v>
      </c>
      <c r="DT24" s="9">
        <f t="shared" ca="1" si="453"/>
        <v>9.8354367702448445E-2</v>
      </c>
      <c r="DU24" s="9">
        <f t="shared" ca="1" si="453"/>
        <v>9.8418237559023E-2</v>
      </c>
      <c r="DV24" s="9">
        <f t="shared" ca="1" si="453"/>
        <v>9.8481388883091686E-2</v>
      </c>
      <c r="DW24" s="9">
        <f t="shared" ca="1" si="453"/>
        <v>9.8543835229936538E-2</v>
      </c>
      <c r="DX24" s="9">
        <f t="shared" ca="1" si="453"/>
        <v>9.8605589796735921E-2</v>
      </c>
      <c r="DY24" s="9">
        <f t="shared" ca="1" si="453"/>
        <v>9.866666543469943E-2</v>
      </c>
      <c r="DZ24" s="9">
        <f t="shared" ca="1" si="453"/>
        <v>9.8727074660701991E-2</v>
      </c>
      <c r="EA24" s="9">
        <f t="shared" ca="1" si="453"/>
        <v>9.87868296684416E-2</v>
      </c>
      <c r="EB24" s="9">
        <f t="shared" ca="1" si="453"/>
        <v>9.8845942339143553E-2</v>
      </c>
      <c r="EC24" s="9">
        <f t="shared" ca="1" si="453"/>
        <v>9.8904424251832587E-2</v>
      </c>
      <c r="ED24" s="9">
        <f t="shared" ca="1" si="453"/>
        <v>9.8962286693194776E-2</v>
      </c>
      <c r="EE24" s="9">
        <f t="shared" ca="1" si="453"/>
        <v>9.9019540667046407E-2</v>
      </c>
      <c r="EF24" s="9">
        <f t="shared" ca="1" si="453"/>
        <v>9.90761969034296E-2</v>
      </c>
      <c r="EG24" s="9">
        <f t="shared" ca="1" si="453"/>
        <v>9.9132265867352076E-2</v>
      </c>
      <c r="EH24" s="9">
        <f t="shared" ca="1" si="453"/>
        <v>9.9187757767187079E-2</v>
      </c>
      <c r="EI24" s="9">
        <f t="shared" ca="1" si="453"/>
        <v>9.9242682562748055E-2</v>
      </c>
      <c r="EJ24" s="9">
        <f t="shared" ca="1" si="453"/>
        <v>9.9297049973055093E-2</v>
      </c>
      <c r="EK24" s="9">
        <f t="shared" ca="1" si="453"/>
        <v>9.9350869483805601E-2</v>
      </c>
      <c r="EL24" s="9">
        <f t="shared" ca="1" si="453"/>
        <v>9.9404150354561446E-2</v>
      </c>
      <c r="EM24" s="9">
        <f t="shared" ca="1" si="453"/>
        <v>9.9456901625667615E-2</v>
      </c>
      <c r="EN24" s="9">
        <f t="shared" ca="1" si="453"/>
        <v>9.9509132124912664E-2</v>
      </c>
      <c r="EO24" s="9">
        <f t="shared" ca="1" si="453"/>
        <v>9.9560850473942544E-2</v>
      </c>
      <c r="EP24" s="9">
        <f t="shared" ca="1" si="453"/>
        <v>9.9612065094438276E-2</v>
      </c>
      <c r="EQ24" s="9">
        <f t="shared" ref="EQ24:EU24" ca="1" si="454">EQ11/EQ$12</f>
        <v>9.9662784214068767E-2</v>
      </c>
      <c r="ER24" s="9">
        <f t="shared" ca="1" si="454"/>
        <v>9.9713015872227265E-2</v>
      </c>
      <c r="ES24" s="9">
        <f t="shared" ca="1" si="454"/>
        <v>9.9762767925561199E-2</v>
      </c>
      <c r="ET24" s="9">
        <f t="shared" ca="1" si="454"/>
        <v>9.9812048053303973E-2</v>
      </c>
      <c r="EU24" s="9">
        <f t="shared" ca="1" si="454"/>
        <v>9.9860863762417443E-2</v>
      </c>
    </row>
    <row r="26" spans="1:151">
      <c r="A26" s="4">
        <v>0</v>
      </c>
      <c r="B26" s="9">
        <f t="shared" ref="B26:AG26" ca="1" si="455">B14/B$18</f>
        <v>0.13662775188052353</v>
      </c>
      <c r="C26" s="9">
        <f t="shared" ca="1" si="455"/>
        <v>0.659648865066225</v>
      </c>
      <c r="D26" s="9">
        <f t="shared" ca="1" si="455"/>
        <v>0.51744865977181265</v>
      </c>
      <c r="E26" s="9">
        <f t="shared" ca="1" si="455"/>
        <v>0.46653996287166721</v>
      </c>
      <c r="F26" s="9">
        <f t="shared" ca="1" si="455"/>
        <v>0.46101473589489039</v>
      </c>
      <c r="G26" s="9">
        <f t="shared" ca="1" si="455"/>
        <v>0.4712817882792002</v>
      </c>
      <c r="H26" s="9">
        <f t="shared" ca="1" si="455"/>
        <v>0.45262057719224463</v>
      </c>
      <c r="I26" s="9">
        <f t="shared" ca="1" si="455"/>
        <v>0.44604196319312911</v>
      </c>
      <c r="J26" s="9">
        <f t="shared" ca="1" si="455"/>
        <v>0.44246075582320382</v>
      </c>
      <c r="K26" s="9">
        <f t="shared" ca="1" si="455"/>
        <v>0.43829591093388909</v>
      </c>
      <c r="L26" s="9">
        <f t="shared" ca="1" si="455"/>
        <v>0.43326419774687408</v>
      </c>
      <c r="M26" s="9">
        <f t="shared" ca="1" si="455"/>
        <v>0.42993008141564998</v>
      </c>
      <c r="N26" s="9">
        <f t="shared" ca="1" si="455"/>
        <v>0.42687487752084824</v>
      </c>
      <c r="O26" s="9">
        <f t="shared" ca="1" si="455"/>
        <v>0.42392017577635677</v>
      </c>
      <c r="P26" s="9">
        <f t="shared" ca="1" si="455"/>
        <v>0.42122787584320931</v>
      </c>
      <c r="Q26" s="9">
        <f t="shared" ca="1" si="455"/>
        <v>0.41887556615362531</v>
      </c>
      <c r="R26" s="9">
        <f t="shared" ca="1" si="455"/>
        <v>0.41667380778253832</v>
      </c>
      <c r="S26" s="9">
        <f t="shared" ca="1" si="455"/>
        <v>0.41462681320363481</v>
      </c>
      <c r="T26" s="9">
        <f t="shared" ca="1" si="455"/>
        <v>0.41274098541687149</v>
      </c>
      <c r="U26" s="9">
        <f t="shared" ca="1" si="455"/>
        <v>0.41099307238862276</v>
      </c>
      <c r="V26" s="9">
        <f t="shared" ca="1" si="455"/>
        <v>0.40935451879624152</v>
      </c>
      <c r="W26" s="9">
        <f t="shared" ca="1" si="455"/>
        <v>0.40782075023617942</v>
      </c>
      <c r="X26" s="9">
        <f t="shared" ca="1" si="455"/>
        <v>0.40638239265574988</v>
      </c>
      <c r="Y26" s="9">
        <f t="shared" ca="1" si="455"/>
        <v>0.405028041495888</v>
      </c>
      <c r="Z26" s="9">
        <f t="shared" ca="1" si="455"/>
        <v>0.40374917486847484</v>
      </c>
      <c r="AA26" s="9">
        <f t="shared" ca="1" si="455"/>
        <v>0.40253999471008434</v>
      </c>
      <c r="AB26" s="9">
        <f t="shared" ca="1" si="455"/>
        <v>0.40139416090894858</v>
      </c>
      <c r="AC26" s="9">
        <f t="shared" ca="1" si="455"/>
        <v>0.40030601802078164</v>
      </c>
      <c r="AD26" s="9">
        <f t="shared" ca="1" si="455"/>
        <v>0.39927091190354297</v>
      </c>
      <c r="AE26" s="9">
        <f t="shared" ca="1" si="455"/>
        <v>0.39828473222407307</v>
      </c>
      <c r="AF26" s="9">
        <f t="shared" ca="1" si="455"/>
        <v>0.39734364036913877</v>
      </c>
      <c r="AG26" s="9">
        <f t="shared" ca="1" si="455"/>
        <v>0.39644425600958205</v>
      </c>
      <c r="AH26" s="9">
        <f t="shared" ref="AH26:AY26" ca="1" si="456">AH14/AH$18</f>
        <v>0.39558358265671029</v>
      </c>
      <c r="AI26" s="9">
        <f t="shared" ca="1" si="456"/>
        <v>0.39475889900324235</v>
      </c>
      <c r="AJ26" s="9">
        <f t="shared" ca="1" si="456"/>
        <v>0.39396773182626221</v>
      </c>
      <c r="AK26" s="9">
        <f t="shared" ca="1" si="456"/>
        <v>0.39320785349893972</v>
      </c>
      <c r="AL26" s="9">
        <f t="shared" ca="1" si="456"/>
        <v>0.39247724024046438</v>
      </c>
      <c r="AM26" s="9">
        <f t="shared" ca="1" si="456"/>
        <v>0.39177404345981992</v>
      </c>
      <c r="AN26" s="9">
        <f t="shared" ca="1" si="456"/>
        <v>0.39109657501377321</v>
      </c>
      <c r="AO26" s="9">
        <f t="shared" ca="1" si="456"/>
        <v>0.39044329135004074</v>
      </c>
      <c r="AP26" s="9">
        <f t="shared" ca="1" si="456"/>
        <v>0.38981277546292642</v>
      </c>
      <c r="AQ26" s="9">
        <f t="shared" ca="1" si="456"/>
        <v>0.38920372397391673</v>
      </c>
      <c r="AR26" s="9">
        <f t="shared" ca="1" si="456"/>
        <v>0.38861493642700229</v>
      </c>
      <c r="AS26" s="9">
        <f t="shared" ca="1" si="456"/>
        <v>0.3880453048710093</v>
      </c>
      <c r="AT26" s="9">
        <f t="shared" ca="1" si="456"/>
        <v>0.38749380455325405</v>
      </c>
      <c r="AU26" s="9">
        <f t="shared" ca="1" si="456"/>
        <v>0.38695948619654014</v>
      </c>
      <c r="AV26" s="9">
        <f t="shared" ca="1" si="456"/>
        <v>0.3864414690464234</v>
      </c>
      <c r="AW26" s="9">
        <f t="shared" ca="1" si="456"/>
        <v>0.38593893454969824</v>
      </c>
      <c r="AX26" s="9">
        <f t="shared" ca="1" si="456"/>
        <v>0.38545112078676397</v>
      </c>
      <c r="AY26" s="9">
        <f t="shared" ca="1" si="456"/>
        <v>0.3849773175521517</v>
      </c>
      <c r="AZ26" s="9">
        <f t="shared" ref="AZ26:CW26" ca="1" si="457">AZ14/AZ$18</f>
        <v>0.38451686191061446</v>
      </c>
      <c r="BA26" s="9">
        <f t="shared" ca="1" si="457"/>
        <v>0.38406913420416972</v>
      </c>
      <c r="BB26" s="9">
        <f t="shared" ca="1" si="457"/>
        <v>0.3836335544799705</v>
      </c>
      <c r="BC26" s="9">
        <f t="shared" ca="1" si="457"/>
        <v>0.38320957927329052</v>
      </c>
      <c r="BD26" s="9">
        <f t="shared" ca="1" si="457"/>
        <v>0.38279669869724492</v>
      </c>
      <c r="BE26" s="9">
        <f t="shared" ca="1" si="457"/>
        <v>0.38239443381359517</v>
      </c>
      <c r="BF26" s="9">
        <f t="shared" ca="1" si="457"/>
        <v>0.38200233425349062</v>
      </c>
      <c r="BG26" s="9">
        <f t="shared" ca="1" si="457"/>
        <v>0.38161997605734926</v>
      </c>
      <c r="BH26" s="9">
        <f t="shared" ca="1" si="457"/>
        <v>0.38124695971078154</v>
      </c>
      <c r="BI26" s="9">
        <f t="shared" ca="1" si="457"/>
        <v>0.38088290835712013</v>
      </c>
      <c r="BJ26" s="9">
        <f t="shared" ca="1" si="457"/>
        <v>0.38052746616754535</v>
      </c>
      <c r="BK26" s="9">
        <f t="shared" ca="1" si="457"/>
        <v>0.38018029685224841</v>
      </c>
      <c r="BL26" s="9">
        <f t="shared" ca="1" si="457"/>
        <v>0.37984108229870184</v>
      </c>
      <c r="BM26" s="9">
        <f t="shared" ca="1" si="457"/>
        <v>0.37950952132447657</v>
      </c>
      <c r="BN26" s="9">
        <f t="shared" ca="1" si="457"/>
        <v>0.37918532853323061</v>
      </c>
      <c r="BO26" s="9">
        <f t="shared" ca="1" si="457"/>
        <v>0.37886823326392222</v>
      </c>
      <c r="BP26" s="9">
        <f t="shared" ca="1" si="457"/>
        <v>0.37855797862444107</v>
      </c>
      <c r="BQ26" s="9">
        <f t="shared" ca="1" si="457"/>
        <v>0.37825432060173397</v>
      </c>
      <c r="BR26" s="9">
        <f t="shared" ca="1" si="457"/>
        <v>0.37795702724134489</v>
      </c>
      <c r="BS26" s="9">
        <f t="shared" ca="1" si="457"/>
        <v>0.37766587789005229</v>
      </c>
      <c r="BT26" s="9">
        <f t="shared" ca="1" si="457"/>
        <v>0.37738066249595775</v>
      </c>
      <c r="BU26" s="9">
        <f t="shared" ca="1" si="457"/>
        <v>0.37710118096092138</v>
      </c>
      <c r="BV26" s="9">
        <f t="shared" ca="1" si="457"/>
        <v>0.37682724254078137</v>
      </c>
      <c r="BW26" s="9">
        <f t="shared" ca="1" si="457"/>
        <v>0.37655866528923615</v>
      </c>
      <c r="BX26" s="9">
        <f t="shared" ca="1" si="457"/>
        <v>0.37629527554168063</v>
      </c>
      <c r="BY26" s="9">
        <f t="shared" ca="1" si="457"/>
        <v>0.37603690743564111</v>
      </c>
      <c r="BZ26" s="9">
        <f t="shared" ca="1" si="457"/>
        <v>0.37578340246477587</v>
      </c>
      <c r="CA26" s="9">
        <f t="shared" ca="1" si="457"/>
        <v>0.37553460906369973</v>
      </c>
      <c r="CB26" s="9">
        <f t="shared" ca="1" si="457"/>
        <v>0.37529038222113881</v>
      </c>
      <c r="CC26" s="9">
        <f t="shared" ca="1" si="457"/>
        <v>0.37505058311916173</v>
      </c>
      <c r="CD26" s="9">
        <f t="shared" ca="1" si="457"/>
        <v>0.37481507879642345</v>
      </c>
      <c r="CE26" s="9">
        <f t="shared" ca="1" si="457"/>
        <v>0.3745837418335633</v>
      </c>
      <c r="CF26" s="9">
        <f t="shared" ca="1" si="457"/>
        <v>0.37435645005904561</v>
      </c>
      <c r="CG26" s="9">
        <f t="shared" ca="1" si="457"/>
        <v>0.37413308627389275</v>
      </c>
      <c r="CH26" s="9">
        <f t="shared" ca="1" si="457"/>
        <v>0.37391353799388805</v>
      </c>
      <c r="CI26" s="9">
        <f t="shared" ca="1" si="457"/>
        <v>0.37369769720795937</v>
      </c>
      <c r="CJ26" s="9">
        <f t="shared" ca="1" si="457"/>
        <v>0.37348546015154377</v>
      </c>
      <c r="CK26" s="9">
        <f t="shared" ca="1" si="457"/>
        <v>0.37327672709385645</v>
      </c>
      <c r="CL26" s="9">
        <f t="shared" ca="1" si="457"/>
        <v>0.37307140213806039</v>
      </c>
      <c r="CM26" s="9">
        <f t="shared" ca="1" si="457"/>
        <v>0.37286939303342304</v>
      </c>
      <c r="CN26" s="9">
        <f t="shared" ca="1" si="457"/>
        <v>0.37267061099861648</v>
      </c>
      <c r="CO26" s="9">
        <f t="shared" ca="1" si="457"/>
        <v>0.37247497055539053</v>
      </c>
      <c r="CP26" s="9">
        <f t="shared" ca="1" si="457"/>
        <v>0.37228238937190195</v>
      </c>
      <c r="CQ26" s="9">
        <f t="shared" ca="1" si="457"/>
        <v>0.37209278811504642</v>
      </c>
      <c r="CR26" s="9">
        <f t="shared" ca="1" si="457"/>
        <v>0.37190609031118677</v>
      </c>
      <c r="CS26" s="9">
        <f t="shared" ca="1" si="457"/>
        <v>0.37172222221471674</v>
      </c>
      <c r="CT26" s="9">
        <f t="shared" ca="1" si="457"/>
        <v>0.3715411126839463</v>
      </c>
      <c r="CU26" s="9">
        <f t="shared" ca="1" si="457"/>
        <v>0.37136269306382874</v>
      </c>
      <c r="CV26" s="9">
        <f t="shared" ca="1" si="457"/>
        <v>0.37118689707509112</v>
      </c>
      <c r="CW26" s="9">
        <f t="shared" ca="1" si="457"/>
        <v>0.37101366070935188</v>
      </c>
      <c r="CX26" s="9">
        <f t="shared" ref="CX26:EP26" ca="1" si="458">CX14/CX$18</f>
        <v>0.37084292212985515</v>
      </c>
      <c r="CY26" s="9">
        <f t="shared" ca="1" si="458"/>
        <v>0.370674621577463</v>
      </c>
      <c r="CZ26" s="9">
        <f t="shared" ca="1" si="458"/>
        <v>0.3705087012815817</v>
      </c>
      <c r="DA26" s="9">
        <f t="shared" ca="1" si="458"/>
        <v>0.3703451053757178</v>
      </c>
      <c r="DB26" s="9">
        <f t="shared" ca="1" si="458"/>
        <v>0.37018377981738337</v>
      </c>
      <c r="DC26" s="9">
        <f t="shared" ca="1" si="458"/>
        <v>0.37002467231208686</v>
      </c>
      <c r="DD26" s="9">
        <f t="shared" ca="1" si="458"/>
        <v>0.36986773224116282</v>
      </c>
      <c r="DE26" s="9">
        <f t="shared" ca="1" si="458"/>
        <v>0.36971291059321953</v>
      </c>
      <c r="DF26" s="9">
        <f t="shared" ca="1" si="458"/>
        <v>0.36956015989898483</v>
      </c>
      <c r="DG26" s="9">
        <f t="shared" ca="1" si="458"/>
        <v>0.36940943416935623</v>
      </c>
      <c r="DH26" s="9">
        <f t="shared" ca="1" si="458"/>
        <v>0.36926068883647217</v>
      </c>
      <c r="DI26" s="9">
        <f t="shared" ca="1" si="458"/>
        <v>0.36911388069762707</v>
      </c>
      <c r="DJ26" s="9">
        <f t="shared" ca="1" si="458"/>
        <v>0.3689689678618725</v>
      </c>
      <c r="DK26" s="9">
        <f t="shared" ca="1" si="458"/>
        <v>0.36882590969915324</v>
      </c>
      <c r="DL26" s="9">
        <f t="shared" ca="1" si="458"/>
        <v>0.36868466679183587</v>
      </c>
      <c r="DM26" s="9">
        <f t="shared" ca="1" si="458"/>
        <v>0.36854520088850062</v>
      </c>
      <c r="DN26" s="9">
        <f t="shared" ca="1" si="458"/>
        <v>0.3684074748598653</v>
      </c>
      <c r="DO26" s="9">
        <f t="shared" ca="1" si="458"/>
        <v>0.36827145265673894</v>
      </c>
      <c r="DP26" s="9">
        <f t="shared" ca="1" si="458"/>
        <v>0.36813709926987986</v>
      </c>
      <c r="DQ26" s="9">
        <f t="shared" ca="1" si="458"/>
        <v>0.36800438069167085</v>
      </c>
      <c r="DR26" s="9">
        <f t="shared" ca="1" si="458"/>
        <v>0.36787326387950425</v>
      </c>
      <c r="DS26" s="9">
        <f t="shared" ca="1" si="458"/>
        <v>0.36774371672079509</v>
      </c>
      <c r="DT26" s="9">
        <f t="shared" ca="1" si="458"/>
        <v>0.36761570799953225</v>
      </c>
      <c r="DU26" s="9">
        <f t="shared" ca="1" si="458"/>
        <v>0.36748920736429175</v>
      </c>
      <c r="DV26" s="9">
        <f t="shared" ca="1" si="458"/>
        <v>0.36736418529763559</v>
      </c>
      <c r="DW26" s="9">
        <f t="shared" ca="1" si="458"/>
        <v>0.3672406130868226</v>
      </c>
      <c r="DX26" s="9">
        <f t="shared" ca="1" si="458"/>
        <v>0.36711846279577376</v>
      </c>
      <c r="DY26" s="9">
        <f t="shared" ca="1" si="458"/>
        <v>0.36699770723822034</v>
      </c>
      <c r="DZ26" s="9">
        <f t="shared" ca="1" si="458"/>
        <v>0.366878319951978</v>
      </c>
      <c r="EA26" s="9">
        <f t="shared" ca="1" si="458"/>
        <v>0.36676027517429799</v>
      </c>
      <c r="EB26" s="9">
        <f t="shared" ca="1" si="458"/>
        <v>0.36664354781823177</v>
      </c>
      <c r="EC26" s="9">
        <f t="shared" ca="1" si="458"/>
        <v>0.36652811344997016</v>
      </c>
      <c r="ED26" s="9">
        <f t="shared" ca="1" si="458"/>
        <v>0.36641394826710344</v>
      </c>
      <c r="EE26" s="9">
        <f t="shared" ca="1" si="458"/>
        <v>0.36630102907776024</v>
      </c>
      <c r="EF26" s="9">
        <f t="shared" ca="1" si="458"/>
        <v>0.36618933328058512</v>
      </c>
      <c r="EG26" s="9">
        <f t="shared" ca="1" si="458"/>
        <v>0.36607883884551379</v>
      </c>
      <c r="EH26" s="9">
        <f t="shared" ca="1" si="458"/>
        <v>0.36596952429530588</v>
      </c>
      <c r="EI26" s="9">
        <f t="shared" ca="1" si="458"/>
        <v>0.36586136868780822</v>
      </c>
      <c r="EJ26" s="9">
        <f t="shared" ca="1" si="458"/>
        <v>0.36575435159890485</v>
      </c>
      <c r="EK26" s="9">
        <f t="shared" ca="1" si="458"/>
        <v>0.36564845310612909</v>
      </c>
      <c r="EL26" s="9">
        <f t="shared" ca="1" si="458"/>
        <v>0.36554365377290587</v>
      </c>
      <c r="EM26" s="9">
        <f t="shared" ca="1" si="458"/>
        <v>0.36543993463339675</v>
      </c>
      <c r="EN26" s="9">
        <f t="shared" ca="1" si="458"/>
        <v>0.36533727717791453</v>
      </c>
      <c r="EO26" s="9">
        <f t="shared" ca="1" si="458"/>
        <v>0.3652356633388934</v>
      </c>
      <c r="EP26" s="9">
        <f t="shared" ca="1" si="458"/>
        <v>0.36513507547737994</v>
      </c>
      <c r="EQ26" s="9">
        <f t="shared" ref="EQ26:EU26" ca="1" si="459">EQ14/EQ$18</f>
        <v>0.36503549637002525</v>
      </c>
      <c r="ER26" s="9">
        <f t="shared" ca="1" si="459"/>
        <v>0.3649369091965603</v>
      </c>
      <c r="ES26" s="9">
        <f t="shared" ca="1" si="459"/>
        <v>0.36483929752772559</v>
      </c>
      <c r="ET26" s="9">
        <f t="shared" ca="1" si="459"/>
        <v>0.36474264531364503</v>
      </c>
      <c r="EU26" s="9">
        <f t="shared" ca="1" si="459"/>
        <v>0.36464693687261546</v>
      </c>
    </row>
    <row r="27" spans="1:151">
      <c r="A27" s="4">
        <f>A26+1</f>
        <v>1</v>
      </c>
      <c r="B27" s="9">
        <f t="shared" ref="B27:AG27" ca="1" si="460">B15/B$18</f>
        <v>0.37830821882680837</v>
      </c>
      <c r="C27" s="9">
        <f t="shared" ca="1" si="460"/>
        <v>7.5590152987926609E-2</v>
      </c>
      <c r="D27" s="9">
        <f t="shared" ca="1" si="460"/>
        <v>0.39478773776429288</v>
      </c>
      <c r="E27" s="9">
        <f t="shared" ca="1" si="460"/>
        <v>0.32554717005511391</v>
      </c>
      <c r="F27" s="9">
        <f t="shared" ca="1" si="460"/>
        <v>0.30415099481419622</v>
      </c>
      <c r="G27" s="9">
        <f t="shared" ca="1" si="460"/>
        <v>0.30880629438791846</v>
      </c>
      <c r="H27" s="9">
        <f t="shared" ca="1" si="460"/>
        <v>0.32257144009929117</v>
      </c>
      <c r="I27" s="9">
        <f t="shared" ca="1" si="460"/>
        <v>0.31534485653366795</v>
      </c>
      <c r="J27" s="9">
        <f t="shared" ca="1" si="460"/>
        <v>0.31543910548397464</v>
      </c>
      <c r="K27" s="9">
        <f t="shared" ca="1" si="460"/>
        <v>0.31694232981901466</v>
      </c>
      <c r="L27" s="9">
        <f t="shared" ca="1" si="460"/>
        <v>0.3174819014022689</v>
      </c>
      <c r="M27" s="9">
        <f t="shared" ca="1" si="460"/>
        <v>0.31693914582260024</v>
      </c>
      <c r="N27" s="9">
        <f t="shared" ca="1" si="460"/>
        <v>0.31726690194351365</v>
      </c>
      <c r="O27" s="9">
        <f t="shared" ca="1" si="460"/>
        <v>0.31750053969977987</v>
      </c>
      <c r="P27" s="9">
        <f t="shared" ca="1" si="460"/>
        <v>0.31755600027991621</v>
      </c>
      <c r="Q27" s="9">
        <f t="shared" ca="1" si="460"/>
        <v>0.317592446072261</v>
      </c>
      <c r="R27" s="9">
        <f t="shared" ca="1" si="460"/>
        <v>0.31770097384208212</v>
      </c>
      <c r="S27" s="9">
        <f t="shared" ca="1" si="460"/>
        <v>0.31776462962163232</v>
      </c>
      <c r="T27" s="9">
        <f t="shared" ca="1" si="460"/>
        <v>0.3178073843821233</v>
      </c>
      <c r="U27" s="9">
        <f t="shared" ca="1" si="460"/>
        <v>0.31785163381168197</v>
      </c>
      <c r="V27" s="9">
        <f t="shared" ca="1" si="460"/>
        <v>0.31789426116743097</v>
      </c>
      <c r="W27" s="9">
        <f t="shared" ca="1" si="460"/>
        <v>0.31792557644592795</v>
      </c>
      <c r="X27" s="9">
        <f t="shared" ca="1" si="460"/>
        <v>0.31795250696658833</v>
      </c>
      <c r="Y27" s="9">
        <f t="shared" ca="1" si="460"/>
        <v>0.31797676912949746</v>
      </c>
      <c r="Z27" s="9">
        <f t="shared" ca="1" si="460"/>
        <v>0.31799722266206087</v>
      </c>
      <c r="AA27" s="9">
        <f t="shared" ca="1" si="460"/>
        <v>0.31801391669559803</v>
      </c>
      <c r="AB27" s="9">
        <f t="shared" ca="1" si="460"/>
        <v>0.31802816452904697</v>
      </c>
      <c r="AC27" s="9">
        <f t="shared" ca="1" si="460"/>
        <v>0.31804011873868476</v>
      </c>
      <c r="AD27" s="9">
        <f t="shared" ca="1" si="460"/>
        <v>0.3180498451215264</v>
      </c>
      <c r="AE27" s="9">
        <f t="shared" ca="1" si="460"/>
        <v>0.31805766954679648</v>
      </c>
      <c r="AF27" s="9">
        <f t="shared" ca="1" si="460"/>
        <v>0.31806389477940744</v>
      </c>
      <c r="AG27" s="9">
        <f t="shared" ca="1" si="460"/>
        <v>0.3180686474942373</v>
      </c>
      <c r="AH27" s="9">
        <f t="shared" ref="AH27:AY27" ca="1" si="461">AH15/AH$18</f>
        <v>0.31807208025146133</v>
      </c>
      <c r="AI27" s="9">
        <f t="shared" ca="1" si="461"/>
        <v>0.31807435764177944</v>
      </c>
      <c r="AJ27" s="9">
        <f t="shared" ca="1" si="461"/>
        <v>0.31807560739591773</v>
      </c>
      <c r="AK27" s="9">
        <f t="shared" ca="1" si="461"/>
        <v>0.3180759307945743</v>
      </c>
      <c r="AL27" s="9">
        <f t="shared" ca="1" si="461"/>
        <v>0.31807542825040436</v>
      </c>
      <c r="AM27" s="9">
        <f t="shared" ca="1" si="461"/>
        <v>0.31807418931892123</v>
      </c>
      <c r="AN27" s="9">
        <f t="shared" ca="1" si="461"/>
        <v>0.31807228983982327</v>
      </c>
      <c r="AO27" s="9">
        <f t="shared" ca="1" si="461"/>
        <v>0.31806979753223824</v>
      </c>
      <c r="AP27" s="9">
        <f t="shared" ca="1" si="461"/>
        <v>0.31806677435602382</v>
      </c>
      <c r="AQ27" s="9">
        <f t="shared" ca="1" si="461"/>
        <v>0.31806327509221483</v>
      </c>
      <c r="AR27" s="9">
        <f t="shared" ca="1" si="461"/>
        <v>0.31805934838219452</v>
      </c>
      <c r="AS27" s="9">
        <f t="shared" ca="1" si="461"/>
        <v>0.31805503812672459</v>
      </c>
      <c r="AT27" s="9">
        <f t="shared" ca="1" si="461"/>
        <v>0.31805038388024726</v>
      </c>
      <c r="AU27" s="9">
        <f t="shared" ca="1" si="461"/>
        <v>0.31804542108401596</v>
      </c>
      <c r="AV27" s="9">
        <f t="shared" ca="1" si="461"/>
        <v>0.31804018167409193</v>
      </c>
      <c r="AW27" s="9">
        <f t="shared" ca="1" si="461"/>
        <v>0.31803469452494793</v>
      </c>
      <c r="AX27" s="9">
        <f t="shared" ca="1" si="461"/>
        <v>0.31802898571939198</v>
      </c>
      <c r="AY27" s="9">
        <f t="shared" ca="1" si="461"/>
        <v>0.31802307883540409</v>
      </c>
      <c r="AZ27" s="9">
        <f t="shared" ref="AZ27:CW27" ca="1" si="462">AZ15/AZ$18</f>
        <v>0.31801699524038596</v>
      </c>
      <c r="BA27" s="9">
        <f t="shared" ca="1" si="462"/>
        <v>0.31801075431662607</v>
      </c>
      <c r="BB27" s="9">
        <f t="shared" ca="1" si="462"/>
        <v>0.31800437365413786</v>
      </c>
      <c r="BC27" s="9">
        <f t="shared" ca="1" si="462"/>
        <v>0.31799786923486212</v>
      </c>
      <c r="BD27" s="9">
        <f t="shared" ca="1" si="462"/>
        <v>0.31799125559617353</v>
      </c>
      <c r="BE27" s="9">
        <f t="shared" ca="1" si="462"/>
        <v>0.3179845459702032</v>
      </c>
      <c r="BF27" s="9">
        <f t="shared" ca="1" si="462"/>
        <v>0.31797775240950038</v>
      </c>
      <c r="BG27" s="9">
        <f t="shared" ca="1" si="462"/>
        <v>0.31797088590091233</v>
      </c>
      <c r="BH27" s="9">
        <f t="shared" ca="1" si="462"/>
        <v>0.31796395646631498</v>
      </c>
      <c r="BI27" s="9">
        <f t="shared" ca="1" si="462"/>
        <v>0.31795697325218036</v>
      </c>
      <c r="BJ27" s="9">
        <f t="shared" ca="1" si="462"/>
        <v>0.31794994461040654</v>
      </c>
      <c r="BK27" s="9">
        <f t="shared" ca="1" si="462"/>
        <v>0.3179428781709428</v>
      </c>
      <c r="BL27" s="9">
        <f t="shared" ca="1" si="462"/>
        <v>0.31793578090682595</v>
      </c>
      <c r="BM27" s="9">
        <f t="shared" ca="1" si="462"/>
        <v>0.31792865919274604</v>
      </c>
      <c r="BN27" s="9">
        <f t="shared" ca="1" si="462"/>
        <v>0.3179215188579318</v>
      </c>
      <c r="BO27" s="9">
        <f t="shared" ca="1" si="462"/>
        <v>0.31791436523384803</v>
      </c>
      <c r="BP27" s="9">
        <f t="shared" ca="1" si="462"/>
        <v>0.31790720319727517</v>
      </c>
      <c r="BQ27" s="9">
        <f t="shared" ca="1" si="462"/>
        <v>0.31790003720930915</v>
      </c>
      <c r="BR27" s="9">
        <f t="shared" ca="1" si="462"/>
        <v>0.31789287135070149</v>
      </c>
      <c r="BS27" s="9">
        <f t="shared" ca="1" si="462"/>
        <v>0.31788570935390426</v>
      </c>
      <c r="BT27" s="9">
        <f t="shared" ca="1" si="462"/>
        <v>0.3178785546321653</v>
      </c>
      <c r="BU27" s="9">
        <f t="shared" ca="1" si="462"/>
        <v>0.31787141030598454</v>
      </c>
      <c r="BV27" s="9">
        <f t="shared" ca="1" si="462"/>
        <v>0.3178642792271828</v>
      </c>
      <c r="BW27" s="9">
        <f t="shared" ca="1" si="462"/>
        <v>0.31785716400083047</v>
      </c>
      <c r="BX27" s="9">
        <f t="shared" ca="1" si="462"/>
        <v>0.31785006700523882</v>
      </c>
      <c r="BY27" s="9">
        <f t="shared" ca="1" si="462"/>
        <v>0.31784299041020853</v>
      </c>
      <c r="BZ27" s="9">
        <f t="shared" ca="1" si="462"/>
        <v>0.31783593619369938</v>
      </c>
      <c r="CA27" s="9">
        <f t="shared" ca="1" si="462"/>
        <v>0.31782890615707143</v>
      </c>
      <c r="CB27" s="9">
        <f t="shared" ca="1" si="462"/>
        <v>0.31782190193903392</v>
      </c>
      <c r="CC27" s="9">
        <f t="shared" ca="1" si="462"/>
        <v>0.31781492502842029</v>
      </c>
      <c r="CD27" s="9">
        <f t="shared" ca="1" si="462"/>
        <v>0.31780797677590011</v>
      </c>
      <c r="CE27" s="9">
        <f t="shared" ca="1" si="462"/>
        <v>0.31780105840472039</v>
      </c>
      <c r="CF27" s="9">
        <f t="shared" ca="1" si="462"/>
        <v>0.3177941710205695</v>
      </c>
      <c r="CG27" s="9">
        <f t="shared" ca="1" si="462"/>
        <v>0.31778731562063928</v>
      </c>
      <c r="CH27" s="9">
        <f t="shared" ca="1" si="462"/>
        <v>0.31778049310195577</v>
      </c>
      <c r="CI27" s="9">
        <f t="shared" ca="1" si="462"/>
        <v>0.31777370426904306</v>
      </c>
      <c r="CJ27" s="9">
        <f t="shared" ca="1" si="462"/>
        <v>0.31776694984098253</v>
      </c>
      <c r="CK27" s="9">
        <f t="shared" ca="1" si="462"/>
        <v>0.31776023045791213</v>
      </c>
      <c r="CL27" s="9">
        <f t="shared" ca="1" si="462"/>
        <v>0.31775354668701916</v>
      </c>
      <c r="CM27" s="9">
        <f t="shared" ca="1" si="462"/>
        <v>0.31774689902806863</v>
      </c>
      <c r="CN27" s="9">
        <f t="shared" ca="1" si="462"/>
        <v>0.31774028791850439</v>
      </c>
      <c r="CO27" s="9">
        <f t="shared" ca="1" si="462"/>
        <v>0.31773371373815873</v>
      </c>
      <c r="CP27" s="9">
        <f t="shared" ca="1" si="462"/>
        <v>0.31772717681360657</v>
      </c>
      <c r="CQ27" s="9">
        <f t="shared" ca="1" si="462"/>
        <v>0.3177206774221869</v>
      </c>
      <c r="CR27" s="9">
        <f t="shared" ca="1" si="462"/>
        <v>0.31771421579572434</v>
      </c>
      <c r="CS27" s="9">
        <f t="shared" ca="1" si="462"/>
        <v>0.3177077921239726</v>
      </c>
      <c r="CT27" s="9">
        <f t="shared" ca="1" si="462"/>
        <v>0.31770140655780083</v>
      </c>
      <c r="CU27" s="9">
        <f t="shared" ca="1" si="462"/>
        <v>0.31769505921214602</v>
      </c>
      <c r="CV27" s="9">
        <f t="shared" ca="1" si="462"/>
        <v>0.31768875016874709</v>
      </c>
      <c r="CW27" s="9">
        <f t="shared" ca="1" si="462"/>
        <v>0.3176824794786815</v>
      </c>
      <c r="CX27" s="9">
        <f t="shared" ref="CX27:EP27" ca="1" si="463">CX15/CX$18</f>
        <v>0.31767624716471404</v>
      </c>
      <c r="CY27" s="9">
        <f t="shared" ca="1" si="463"/>
        <v>0.31767005322347802</v>
      </c>
      <c r="CZ27" s="9">
        <f t="shared" ca="1" si="463"/>
        <v>0.31766389762749897</v>
      </c>
      <c r="DA27" s="9">
        <f t="shared" ca="1" si="463"/>
        <v>0.31765778032707204</v>
      </c>
      <c r="DB27" s="9">
        <f t="shared" ca="1" si="463"/>
        <v>0.31765170125200604</v>
      </c>
      <c r="DC27" s="9">
        <f t="shared" ca="1" si="463"/>
        <v>0.31764566031324265</v>
      </c>
      <c r="DD27" s="9">
        <f t="shared" ca="1" si="463"/>
        <v>0.31763965740436279</v>
      </c>
      <c r="DE27" s="9">
        <f t="shared" ca="1" si="463"/>
        <v>0.31763369240298206</v>
      </c>
      <c r="DF27" s="9">
        <f t="shared" ca="1" si="463"/>
        <v>0.31762776517205354</v>
      </c>
      <c r="DG27" s="9">
        <f t="shared" ca="1" si="463"/>
        <v>0.31762187556107452</v>
      </c>
      <c r="DH27" s="9">
        <f t="shared" ca="1" si="463"/>
        <v>0.31761602340720962</v>
      </c>
      <c r="DI27" s="9">
        <f t="shared" ca="1" si="463"/>
        <v>0.31761020853633826</v>
      </c>
      <c r="DJ27" s="9">
        <f t="shared" ca="1" si="463"/>
        <v>0.31760443076402434</v>
      </c>
      <c r="DK27" s="9">
        <f t="shared" ca="1" si="463"/>
        <v>0.31759868989642231</v>
      </c>
      <c r="DL27" s="9">
        <f t="shared" ca="1" si="463"/>
        <v>0.31759298573111794</v>
      </c>
      <c r="DM27" s="9">
        <f t="shared" ca="1" si="463"/>
        <v>0.31758731805791146</v>
      </c>
      <c r="DN27" s="9">
        <f t="shared" ca="1" si="463"/>
        <v>0.31758168665954833</v>
      </c>
      <c r="DO27" s="9">
        <f t="shared" ca="1" si="463"/>
        <v>0.31757609131239312</v>
      </c>
      <c r="DP27" s="9">
        <f t="shared" ca="1" si="463"/>
        <v>0.31757053178706601</v>
      </c>
      <c r="DQ27" s="9">
        <f t="shared" ca="1" si="463"/>
        <v>0.31756500784902614</v>
      </c>
      <c r="DR27" s="9">
        <f t="shared" ca="1" si="463"/>
        <v>0.3175595192591214</v>
      </c>
      <c r="DS27" s="9">
        <f t="shared" ca="1" si="463"/>
        <v>0.31755406577409534</v>
      </c>
      <c r="DT27" s="9">
        <f t="shared" ca="1" si="463"/>
        <v>0.31754864714706177</v>
      </c>
      <c r="DU27" s="9">
        <f t="shared" ca="1" si="463"/>
        <v>0.31754326312794506</v>
      </c>
      <c r="DV27" s="9">
        <f t="shared" ca="1" si="463"/>
        <v>0.3175379134638901</v>
      </c>
      <c r="DW27" s="9">
        <f t="shared" ca="1" si="463"/>
        <v>0.31753259789964478</v>
      </c>
      <c r="DX27" s="9">
        <f t="shared" ca="1" si="463"/>
        <v>0.31752731617791241</v>
      </c>
      <c r="DY27" s="9">
        <f t="shared" ca="1" si="463"/>
        <v>0.31752206803968364</v>
      </c>
      <c r="DZ27" s="9">
        <f t="shared" ca="1" si="463"/>
        <v>0.31751685322454298</v>
      </c>
      <c r="EA27" s="9">
        <f t="shared" ca="1" si="463"/>
        <v>0.31751167147095188</v>
      </c>
      <c r="EB27" s="9">
        <f t="shared" ca="1" si="463"/>
        <v>0.31750652251651601</v>
      </c>
      <c r="EC27" s="9">
        <f t="shared" ca="1" si="463"/>
        <v>0.31750140609822902</v>
      </c>
      <c r="ED27" s="9">
        <f t="shared" ca="1" si="463"/>
        <v>0.31749632195270189</v>
      </c>
      <c r="EE27" s="9">
        <f t="shared" ca="1" si="463"/>
        <v>0.3174912698163746</v>
      </c>
      <c r="EF27" s="9">
        <f t="shared" ca="1" si="463"/>
        <v>0.31748624942571207</v>
      </c>
      <c r="EG27" s="9">
        <f t="shared" ca="1" si="463"/>
        <v>0.31748126051738601</v>
      </c>
      <c r="EH27" s="9">
        <f t="shared" ca="1" si="463"/>
        <v>0.31747630282844491</v>
      </c>
      <c r="EI27" s="9">
        <f t="shared" ca="1" si="463"/>
        <v>0.31747137609646747</v>
      </c>
      <c r="EJ27" s="9">
        <f t="shared" ca="1" si="463"/>
        <v>0.31746648005970934</v>
      </c>
      <c r="EK27" s="9">
        <f t="shared" ca="1" si="463"/>
        <v>0.31746161445723553</v>
      </c>
      <c r="EL27" s="9">
        <f t="shared" ca="1" si="463"/>
        <v>0.31745677902904251</v>
      </c>
      <c r="EM27" s="9">
        <f t="shared" ca="1" si="463"/>
        <v>0.31745197351617221</v>
      </c>
      <c r="EN27" s="9">
        <f t="shared" ca="1" si="463"/>
        <v>0.31744719766081858</v>
      </c>
      <c r="EO27" s="9">
        <f t="shared" ca="1" si="463"/>
        <v>0.31744245120641962</v>
      </c>
      <c r="EP27" s="9">
        <f t="shared" ca="1" si="463"/>
        <v>0.31743773389774893</v>
      </c>
      <c r="EQ27" s="9">
        <f t="shared" ref="EQ27:EU27" ca="1" si="464">EQ15/EQ$18</f>
        <v>0.31743304548099549</v>
      </c>
      <c r="ER27" s="9">
        <f t="shared" ca="1" si="464"/>
        <v>0.31742838570383713</v>
      </c>
      <c r="ES27" s="9">
        <f t="shared" ca="1" si="464"/>
        <v>0.31742375431550995</v>
      </c>
      <c r="ET27" s="9">
        <f t="shared" ca="1" si="464"/>
        <v>0.31741915106686724</v>
      </c>
      <c r="EU27" s="9">
        <f t="shared" ca="1" si="464"/>
        <v>0.31741457571043863</v>
      </c>
    </row>
    <row r="28" spans="1:151">
      <c r="A28" s="4">
        <f t="shared" ref="A28:A29" si="465">A27+1</f>
        <v>2</v>
      </c>
      <c r="B28" s="9">
        <f t="shared" ref="B28:AG28" ca="1" si="466">B16/B$18</f>
        <v>0.34178342674543793</v>
      </c>
      <c r="C28" s="9">
        <f t="shared" ca="1" si="466"/>
        <v>0.16523792651033831</v>
      </c>
      <c r="D28" s="9">
        <f t="shared" ca="1" si="466"/>
        <v>3.571525191468148E-2</v>
      </c>
      <c r="E28" s="9">
        <f t="shared" ca="1" si="466"/>
        <v>0.19608662471736402</v>
      </c>
      <c r="F28" s="9">
        <f t="shared" ca="1" si="466"/>
        <v>0.16755290939868431</v>
      </c>
      <c r="G28" s="9">
        <f t="shared" ca="1" si="466"/>
        <v>0.16084154491456407</v>
      </c>
      <c r="H28" s="9">
        <f t="shared" ca="1" si="466"/>
        <v>0.16686646185460333</v>
      </c>
      <c r="I28" s="9">
        <f t="shared" ca="1" si="466"/>
        <v>0.1774250878208786</v>
      </c>
      <c r="J28" s="9">
        <f t="shared" ca="1" si="466"/>
        <v>0.1760610241192935</v>
      </c>
      <c r="K28" s="9">
        <f t="shared" ca="1" si="466"/>
        <v>0.17838514256379803</v>
      </c>
      <c r="L28" s="9">
        <f t="shared" ca="1" si="466"/>
        <v>0.1812464286695056</v>
      </c>
      <c r="M28" s="9">
        <f t="shared" ca="1" si="466"/>
        <v>0.18334949188504523</v>
      </c>
      <c r="N28" s="9">
        <f t="shared" ca="1" si="466"/>
        <v>0.18464624325228146</v>
      </c>
      <c r="O28" s="9">
        <f t="shared" ca="1" si="466"/>
        <v>0.18629718701974859</v>
      </c>
      <c r="P28" s="9">
        <f t="shared" ca="1" si="466"/>
        <v>0.18776660877089207</v>
      </c>
      <c r="Q28" s="9">
        <f t="shared" ca="1" si="466"/>
        <v>0.18902142873804537</v>
      </c>
      <c r="R28" s="9">
        <f t="shared" ca="1" si="466"/>
        <v>0.19016970838437139</v>
      </c>
      <c r="S28" s="9">
        <f t="shared" ca="1" si="466"/>
        <v>0.19127823554394771</v>
      </c>
      <c r="T28" s="9">
        <f t="shared" ca="1" si="466"/>
        <v>0.19228695078120861</v>
      </c>
      <c r="U28" s="9">
        <f t="shared" ca="1" si="466"/>
        <v>0.19321840534709922</v>
      </c>
      <c r="V28" s="9">
        <f t="shared" ca="1" si="466"/>
        <v>0.19409318758006119</v>
      </c>
      <c r="W28" s="9">
        <f t="shared" ca="1" si="466"/>
        <v>0.19491543185645033</v>
      </c>
      <c r="X28" s="9">
        <f t="shared" ca="1" si="466"/>
        <v>0.19568433461573914</v>
      </c>
      <c r="Y28" s="9">
        <f t="shared" ca="1" si="466"/>
        <v>0.1964085642818576</v>
      </c>
      <c r="Z28" s="9">
        <f t="shared" ca="1" si="466"/>
        <v>0.1970930387166307</v>
      </c>
      <c r="AA28" s="9">
        <f t="shared" ca="1" si="466"/>
        <v>0.19774042486316717</v>
      </c>
      <c r="AB28" s="9">
        <f t="shared" ca="1" si="466"/>
        <v>0.19835371094302856</v>
      </c>
      <c r="AC28" s="9">
        <f t="shared" ca="1" si="466"/>
        <v>0.19893632794105823</v>
      </c>
      <c r="AD28" s="9">
        <f t="shared" ca="1" si="466"/>
        <v>0.19949069084577575</v>
      </c>
      <c r="AE28" s="9">
        <f t="shared" ca="1" si="466"/>
        <v>0.20001890588812132</v>
      </c>
      <c r="AF28" s="9">
        <f t="shared" ca="1" si="466"/>
        <v>0.20052302369002753</v>
      </c>
      <c r="AG28" s="9">
        <f t="shared" ca="1" si="466"/>
        <v>0.20100489167840477</v>
      </c>
      <c r="AH28" s="9">
        <f t="shared" ref="AH28:AY28" ca="1" si="467">AH16/AH$18</f>
        <v>0.20146608157058524</v>
      </c>
      <c r="AI28" s="9">
        <f t="shared" ca="1" si="467"/>
        <v>0.20190803712204389</v>
      </c>
      <c r="AJ28" s="9">
        <f t="shared" ca="1" si="467"/>
        <v>0.20233208320205404</v>
      </c>
      <c r="AK28" s="9">
        <f t="shared" ca="1" si="467"/>
        <v>0.20273940981326202</v>
      </c>
      <c r="AL28" s="9">
        <f t="shared" ca="1" si="467"/>
        <v>0.20313109145580621</v>
      </c>
      <c r="AM28" s="9">
        <f t="shared" ca="1" si="467"/>
        <v>0.20350811449741624</v>
      </c>
      <c r="AN28" s="9">
        <f t="shared" ca="1" si="467"/>
        <v>0.20387138042396688</v>
      </c>
      <c r="AO28" s="9">
        <f t="shared" ca="1" si="467"/>
        <v>0.20422171232609865</v>
      </c>
      <c r="AP28" s="9">
        <f t="shared" ca="1" si="467"/>
        <v>0.20455986572948248</v>
      </c>
      <c r="AQ28" s="9">
        <f t="shared" ca="1" si="467"/>
        <v>0.2048865364638732</v>
      </c>
      <c r="AR28" s="9">
        <f t="shared" ca="1" si="467"/>
        <v>0.20520236532498259</v>
      </c>
      <c r="AS28" s="9">
        <f t="shared" ca="1" si="467"/>
        <v>0.20550794364524835</v>
      </c>
      <c r="AT28" s="9">
        <f t="shared" ca="1" si="467"/>
        <v>0.20580381852620619</v>
      </c>
      <c r="AU28" s="9">
        <f t="shared" ca="1" si="467"/>
        <v>0.20609049692878303</v>
      </c>
      <c r="AV28" s="9">
        <f t="shared" ca="1" si="467"/>
        <v>0.20636844922856756</v>
      </c>
      <c r="AW28" s="9">
        <f t="shared" ca="1" si="467"/>
        <v>0.20663811263981274</v>
      </c>
      <c r="AX28" s="9">
        <f t="shared" ca="1" si="467"/>
        <v>0.20689989420767987</v>
      </c>
      <c r="AY28" s="9">
        <f t="shared" ca="1" si="467"/>
        <v>0.20715417340268991</v>
      </c>
      <c r="AZ28" s="9">
        <f t="shared" ref="AZ28:CW28" ca="1" si="468">AZ16/AZ$18</f>
        <v>0.20740130447589203</v>
      </c>
      <c r="BA28" s="9">
        <f t="shared" ca="1" si="468"/>
        <v>0.2076416185989583</v>
      </c>
      <c r="BB28" s="9">
        <f t="shared" ca="1" si="468"/>
        <v>0.20787542576557988</v>
      </c>
      <c r="BC28" s="9">
        <f t="shared" ca="1" si="468"/>
        <v>0.20810301650009078</v>
      </c>
      <c r="BD28" s="9">
        <f t="shared" ca="1" si="468"/>
        <v>0.20832466340851677</v>
      </c>
      <c r="BE28" s="9">
        <f t="shared" ca="1" si="468"/>
        <v>0.20854062258119763</v>
      </c>
      <c r="BF28" s="9">
        <f t="shared" ca="1" si="468"/>
        <v>0.2087511348595103</v>
      </c>
      <c r="BG28" s="9">
        <f t="shared" ca="1" si="468"/>
        <v>0.20895642698654374</v>
      </c>
      <c r="BH28" s="9">
        <f t="shared" ca="1" si="468"/>
        <v>0.20915671265434282</v>
      </c>
      <c r="BI28" s="9">
        <f t="shared" ca="1" si="468"/>
        <v>0.20935219345682546</v>
      </c>
      <c r="BJ28" s="9">
        <f t="shared" ca="1" si="468"/>
        <v>0.20954305975848206</v>
      </c>
      <c r="BK28" s="9">
        <f t="shared" ca="1" si="468"/>
        <v>0.20972949148823178</v>
      </c>
      <c r="BL28" s="9">
        <f t="shared" ca="1" si="468"/>
        <v>0.20991165886566579</v>
      </c>
      <c r="BM28" s="9">
        <f t="shared" ca="1" si="468"/>
        <v>0.21008972306618454</v>
      </c>
      <c r="BN28" s="9">
        <f t="shared" ca="1" si="468"/>
        <v>0.21026383683118324</v>
      </c>
      <c r="BO28" s="9">
        <f t="shared" ca="1" si="468"/>
        <v>0.21043414502862762</v>
      </c>
      <c r="BP28" s="9">
        <f t="shared" ca="1" si="468"/>
        <v>0.21060078516864461</v>
      </c>
      <c r="BQ28" s="9">
        <f t="shared" ca="1" si="468"/>
        <v>0.21076388787834222</v>
      </c>
      <c r="BR28" s="9">
        <f t="shared" ca="1" si="468"/>
        <v>0.2109235773396495</v>
      </c>
      <c r="BS28" s="9">
        <f t="shared" ca="1" si="468"/>
        <v>0.21107997169353068</v>
      </c>
      <c r="BT28" s="9">
        <f t="shared" ca="1" si="468"/>
        <v>0.21123318341357902</v>
      </c>
      <c r="BU28" s="9">
        <f t="shared" ca="1" si="468"/>
        <v>0.21138331965170021</v>
      </c>
      <c r="BV28" s="9">
        <f t="shared" ca="1" si="468"/>
        <v>0.21153048255832735</v>
      </c>
      <c r="BW28" s="9">
        <f t="shared" ca="1" si="468"/>
        <v>0.21167476957935186</v>
      </c>
      <c r="BX28" s="9">
        <f t="shared" ca="1" si="468"/>
        <v>0.21181627373175133</v>
      </c>
      <c r="BY28" s="9">
        <f t="shared" ca="1" si="468"/>
        <v>0.21195508385969763</v>
      </c>
      <c r="BZ28" s="9">
        <f t="shared" ca="1" si="468"/>
        <v>0.21209128487276338</v>
      </c>
      <c r="CA28" s="9">
        <f t="shared" ca="1" si="468"/>
        <v>0.21222495796768634</v>
      </c>
      <c r="CB28" s="9">
        <f t="shared" ca="1" si="468"/>
        <v>0.21235618083501948</v>
      </c>
      <c r="CC28" s="9">
        <f t="shared" ca="1" si="468"/>
        <v>0.21248502785187079</v>
      </c>
      <c r="CD28" s="9">
        <f t="shared" ca="1" si="468"/>
        <v>0.21261157026182723</v>
      </c>
      <c r="CE28" s="9">
        <f t="shared" ca="1" si="468"/>
        <v>0.21273587634306049</v>
      </c>
      <c r="CF28" s="9">
        <f t="shared" ca="1" si="468"/>
        <v>0.21285801156551898</v>
      </c>
      <c r="CG28" s="9">
        <f t="shared" ca="1" si="468"/>
        <v>0.21297803873803947</v>
      </c>
      <c r="CH28" s="9">
        <f t="shared" ca="1" si="468"/>
        <v>0.21309601814613163</v>
      </c>
      <c r="CI28" s="9">
        <f t="shared" ca="1" si="468"/>
        <v>0.21321200768112689</v>
      </c>
      <c r="CJ28" s="9">
        <f t="shared" ca="1" si="468"/>
        <v>0.21332606296132561</v>
      </c>
      <c r="CK28" s="9">
        <f t="shared" ca="1" si="468"/>
        <v>0.21343823744572588</v>
      </c>
      <c r="CL28" s="9">
        <f t="shared" ca="1" si="468"/>
        <v>0.21354858254085821</v>
      </c>
      <c r="CM28" s="9">
        <f t="shared" ca="1" si="468"/>
        <v>0.21365714770122304</v>
      </c>
      <c r="CN28" s="9">
        <f t="shared" ca="1" si="468"/>
        <v>0.21376398052377454</v>
      </c>
      <c r="CO28" s="9">
        <f t="shared" ca="1" si="468"/>
        <v>0.2138691268368659</v>
      </c>
      <c r="CP28" s="9">
        <f t="shared" ca="1" si="468"/>
        <v>0.21397263078403533</v>
      </c>
      <c r="CQ28" s="9">
        <f t="shared" ca="1" si="468"/>
        <v>0.21407453490298434</v>
      </c>
      <c r="CR28" s="9">
        <f t="shared" ca="1" si="468"/>
        <v>0.21417488020006922</v>
      </c>
      <c r="CS28" s="9">
        <f t="shared" ca="1" si="468"/>
        <v>0.21427370622060743</v>
      </c>
      <c r="CT28" s="9">
        <f t="shared" ca="1" si="468"/>
        <v>0.21437105111527133</v>
      </c>
      <c r="CU28" s="9">
        <f t="shared" ca="1" si="468"/>
        <v>0.21446695170282584</v>
      </c>
      <c r="CV28" s="9">
        <f t="shared" ca="1" si="468"/>
        <v>0.21456144352944539</v>
      </c>
      <c r="CW28" s="9">
        <f t="shared" ca="1" si="468"/>
        <v>0.21465456092482907</v>
      </c>
      <c r="CX28" s="9">
        <f t="shared" ref="CX28:EP28" ca="1" si="469">CX16/CX$18</f>
        <v>0.21474633705531698</v>
      </c>
      <c r="CY28" s="9">
        <f t="shared" ca="1" si="469"/>
        <v>0.21483680397419277</v>
      </c>
      <c r="CZ28" s="9">
        <f t="shared" ca="1" si="469"/>
        <v>0.21492599266935136</v>
      </c>
      <c r="DA28" s="9">
        <f t="shared" ca="1" si="469"/>
        <v>0.21501393310849071</v>
      </c>
      <c r="DB28" s="9">
        <f t="shared" ca="1" si="469"/>
        <v>0.2151006542819783</v>
      </c>
      <c r="DC28" s="9">
        <f t="shared" ca="1" si="469"/>
        <v>0.21518618424353414</v>
      </c>
      <c r="DD28" s="9">
        <f t="shared" ca="1" si="469"/>
        <v>0.21527055014885971</v>
      </c>
      <c r="DE28" s="9">
        <f t="shared" ca="1" si="469"/>
        <v>0.21535377829233496</v>
      </c>
      <c r="DF28" s="9">
        <f t="shared" ca="1" si="469"/>
        <v>0.21543589414189479</v>
      </c>
      <c r="DG28" s="9">
        <f t="shared" ca="1" si="469"/>
        <v>0.21551692237219486</v>
      </c>
      <c r="DH28" s="9">
        <f t="shared" ca="1" si="469"/>
        <v>0.21559688689616049</v>
      </c>
      <c r="DI28" s="9">
        <f t="shared" ca="1" si="469"/>
        <v>0.21567581089501417</v>
      </c>
      <c r="DJ28" s="9">
        <f t="shared" ca="1" si="469"/>
        <v>0.21575371684686762</v>
      </c>
      <c r="DK28" s="9">
        <f t="shared" ca="1" si="469"/>
        <v>0.21583062655395643</v>
      </c>
      <c r="DL28" s="9">
        <f t="shared" ca="1" si="469"/>
        <v>0.21590656116859605</v>
      </c>
      <c r="DM28" s="9">
        <f t="shared" ca="1" si="469"/>
        <v>0.21598154121792723</v>
      </c>
      <c r="DN28" s="9">
        <f t="shared" ca="1" si="469"/>
        <v>0.21605558662751817</v>
      </c>
      <c r="DO28" s="9">
        <f t="shared" ca="1" si="469"/>
        <v>0.21612871674388653</v>
      </c>
      <c r="DP28" s="9">
        <f t="shared" ca="1" si="469"/>
        <v>0.2162009503559939</v>
      </c>
      <c r="DQ28" s="9">
        <f t="shared" ca="1" si="469"/>
        <v>0.2162723057157776</v>
      </c>
      <c r="DR28" s="9">
        <f t="shared" ca="1" si="469"/>
        <v>0.21634280055775937</v>
      </c>
      <c r="DS28" s="9">
        <f t="shared" ca="1" si="469"/>
        <v>0.2164124521177884</v>
      </c>
      <c r="DT28" s="9">
        <f t="shared" ca="1" si="469"/>
        <v>0.21648127715095758</v>
      </c>
      <c r="DU28" s="9">
        <f t="shared" ca="1" si="469"/>
        <v>0.21654929194874009</v>
      </c>
      <c r="DV28" s="9">
        <f t="shared" ca="1" si="469"/>
        <v>0.21661651235538265</v>
      </c>
      <c r="DW28" s="9">
        <f t="shared" ca="1" si="469"/>
        <v>0.21668295378359614</v>
      </c>
      <c r="DX28" s="9">
        <f t="shared" ca="1" si="469"/>
        <v>0.21674863122957796</v>
      </c>
      <c r="DY28" s="9">
        <f t="shared" ca="1" si="469"/>
        <v>0.21681355928739668</v>
      </c>
      <c r="DZ28" s="9">
        <f t="shared" ca="1" si="469"/>
        <v>0.21687775216277688</v>
      </c>
      <c r="EA28" s="9">
        <f t="shared" ca="1" si="469"/>
        <v>0.21694122368630847</v>
      </c>
      <c r="EB28" s="9">
        <f t="shared" ca="1" si="469"/>
        <v>0.21700398732610868</v>
      </c>
      <c r="EC28" s="9">
        <f t="shared" ca="1" si="469"/>
        <v>0.21706605619996822</v>
      </c>
      <c r="ED28" s="9">
        <f t="shared" ca="1" si="469"/>
        <v>0.21712744308699994</v>
      </c>
      <c r="EE28" s="9">
        <f t="shared" ca="1" si="469"/>
        <v>0.21718816043881881</v>
      </c>
      <c r="EF28" s="9">
        <f t="shared" ca="1" si="469"/>
        <v>0.21724822039027319</v>
      </c>
      <c r="EG28" s="9">
        <f t="shared" ca="1" si="469"/>
        <v>0.21730763476974813</v>
      </c>
      <c r="EH28" s="9">
        <f t="shared" ca="1" si="469"/>
        <v>0.21736641510906216</v>
      </c>
      <c r="EI28" s="9">
        <f t="shared" ca="1" si="469"/>
        <v>0.21742457265297632</v>
      </c>
      <c r="EJ28" s="9">
        <f t="shared" ca="1" si="469"/>
        <v>0.21748211836833051</v>
      </c>
      <c r="EK28" s="9">
        <f t="shared" ca="1" si="469"/>
        <v>0.21753906295282982</v>
      </c>
      <c r="EL28" s="9">
        <f t="shared" ca="1" si="469"/>
        <v>0.21759541684349021</v>
      </c>
      <c r="EM28" s="9">
        <f t="shared" ca="1" si="469"/>
        <v>0.21765119022476342</v>
      </c>
      <c r="EN28" s="9">
        <f t="shared" ca="1" si="469"/>
        <v>0.21770639303635417</v>
      </c>
      <c r="EO28" s="9">
        <f t="shared" ca="1" si="469"/>
        <v>0.21776103498074448</v>
      </c>
      <c r="EP28" s="9">
        <f t="shared" ca="1" si="469"/>
        <v>0.21781512553043303</v>
      </c>
      <c r="EQ28" s="9">
        <f t="shared" ref="EQ28:EU28" ca="1" si="470">EQ16/EQ$18</f>
        <v>0.2178686739349105</v>
      </c>
      <c r="ER28" s="9">
        <f t="shared" ca="1" si="470"/>
        <v>0.21792168922737526</v>
      </c>
      <c r="ES28" s="9">
        <f t="shared" ca="1" si="470"/>
        <v>0.21797418023120321</v>
      </c>
      <c r="ET28" s="9">
        <f t="shared" ca="1" si="470"/>
        <v>0.21802615556618382</v>
      </c>
      <c r="EU28" s="9">
        <f t="shared" ca="1" si="470"/>
        <v>0.21807762365452862</v>
      </c>
    </row>
    <row r="29" spans="1:151">
      <c r="A29" s="4">
        <f t="shared" si="465"/>
        <v>3</v>
      </c>
      <c r="B29" s="9">
        <f t="shared" ref="B29:AG29" ca="1" si="471">B17/B$18</f>
        <v>0.14328060254723024</v>
      </c>
      <c r="C29" s="9">
        <f t="shared" ca="1" si="471"/>
        <v>9.952305543551003E-2</v>
      </c>
      <c r="D29" s="9">
        <f t="shared" ca="1" si="471"/>
        <v>5.2048350549212925E-2</v>
      </c>
      <c r="E29" s="9">
        <f t="shared" ca="1" si="471"/>
        <v>1.1826242355854794E-2</v>
      </c>
      <c r="F29" s="9">
        <f t="shared" ca="1" si="471"/>
        <v>6.7281359892229234E-2</v>
      </c>
      <c r="G29" s="9">
        <f t="shared" ca="1" si="471"/>
        <v>5.9070372418317231E-2</v>
      </c>
      <c r="H29" s="9">
        <f t="shared" ca="1" si="471"/>
        <v>5.7941520853860777E-2</v>
      </c>
      <c r="I29" s="9">
        <f t="shared" ca="1" si="471"/>
        <v>6.118809245232442E-2</v>
      </c>
      <c r="J29" s="9">
        <f t="shared" ca="1" si="471"/>
        <v>6.6039114573528013E-2</v>
      </c>
      <c r="K29" s="9">
        <f t="shared" ca="1" si="471"/>
        <v>6.6376616683298362E-2</v>
      </c>
      <c r="L29" s="9">
        <f t="shared" ca="1" si="471"/>
        <v>6.8007472181351392E-2</v>
      </c>
      <c r="M29" s="9">
        <f t="shared" ca="1" si="471"/>
        <v>6.9781280876704613E-2</v>
      </c>
      <c r="N29" s="9">
        <f t="shared" ca="1" si="471"/>
        <v>7.1211977283356792E-2</v>
      </c>
      <c r="O29" s="9">
        <f t="shared" ca="1" si="471"/>
        <v>7.2282097504114892E-2</v>
      </c>
      <c r="P29" s="9">
        <f t="shared" ca="1" si="471"/>
        <v>7.3449515105982452E-2</v>
      </c>
      <c r="Q29" s="9">
        <f t="shared" ca="1" si="471"/>
        <v>7.4510559036068277E-2</v>
      </c>
      <c r="R29" s="9">
        <f t="shared" ca="1" si="471"/>
        <v>7.5455509991008168E-2</v>
      </c>
      <c r="S29" s="9">
        <f t="shared" ca="1" si="471"/>
        <v>7.6330321630785042E-2</v>
      </c>
      <c r="T29" s="9">
        <f t="shared" ca="1" si="471"/>
        <v>7.7164679419796614E-2</v>
      </c>
      <c r="U29" s="9">
        <f t="shared" ca="1" si="471"/>
        <v>7.793688845259604E-2</v>
      </c>
      <c r="V29" s="9">
        <f t="shared" ca="1" si="471"/>
        <v>7.8658032456266305E-2</v>
      </c>
      <c r="W29" s="9">
        <f t="shared" ca="1" si="471"/>
        <v>7.9338241461442291E-2</v>
      </c>
      <c r="X29" s="9">
        <f t="shared" ca="1" si="471"/>
        <v>7.9980765761922507E-2</v>
      </c>
      <c r="Y29" s="9">
        <f t="shared" ca="1" si="471"/>
        <v>8.0586625092756867E-2</v>
      </c>
      <c r="Z29" s="9">
        <f t="shared" ca="1" si="471"/>
        <v>8.1160563752833731E-2</v>
      </c>
      <c r="AA29" s="9">
        <f t="shared" ca="1" si="471"/>
        <v>8.1705663731150513E-2</v>
      </c>
      <c r="AB29" s="9">
        <f t="shared" ca="1" si="471"/>
        <v>8.2223963618975895E-2</v>
      </c>
      <c r="AC29" s="9">
        <f t="shared" ca="1" si="471"/>
        <v>8.2717535299475356E-2</v>
      </c>
      <c r="AD29" s="9">
        <f t="shared" ca="1" si="471"/>
        <v>8.3188552129154839E-2</v>
      </c>
      <c r="AE29" s="9">
        <f t="shared" ca="1" si="471"/>
        <v>8.3638692341009346E-2</v>
      </c>
      <c r="AF29" s="9">
        <f t="shared" ca="1" si="471"/>
        <v>8.4069441161426256E-2</v>
      </c>
      <c r="AG29" s="9">
        <f t="shared" ca="1" si="471"/>
        <v>8.4482204817775977E-2</v>
      </c>
      <c r="AH29" s="9">
        <f t="shared" ref="AH29:AY29" ca="1" si="472">AH17/AH$18</f>
        <v>8.4878255521243173E-2</v>
      </c>
      <c r="AI29" s="9">
        <f t="shared" ca="1" si="472"/>
        <v>8.5258706232934259E-2</v>
      </c>
      <c r="AJ29" s="9">
        <f t="shared" ca="1" si="472"/>
        <v>8.5624577575766164E-2</v>
      </c>
      <c r="AK29" s="9">
        <f t="shared" ca="1" si="472"/>
        <v>8.5976805893224095E-2</v>
      </c>
      <c r="AL29" s="9">
        <f t="shared" ca="1" si="472"/>
        <v>8.6316240053325E-2</v>
      </c>
      <c r="AM29" s="9">
        <f t="shared" ca="1" si="472"/>
        <v>8.664365272384264E-2</v>
      </c>
      <c r="AN29" s="9">
        <f t="shared" ca="1" si="472"/>
        <v>8.6959754722436763E-2</v>
      </c>
      <c r="AO29" s="9">
        <f t="shared" ca="1" si="472"/>
        <v>8.7265198791622214E-2</v>
      </c>
      <c r="AP29" s="9">
        <f t="shared" ca="1" si="472"/>
        <v>8.7560584451567391E-2</v>
      </c>
      <c r="AQ29" s="9">
        <f t="shared" ca="1" si="472"/>
        <v>8.7846464469995153E-2</v>
      </c>
      <c r="AR29" s="9">
        <f t="shared" ca="1" si="472"/>
        <v>8.8123349865820808E-2</v>
      </c>
      <c r="AS29" s="9">
        <f t="shared" ca="1" si="472"/>
        <v>8.8391713357017773E-2</v>
      </c>
      <c r="AT29" s="9">
        <f t="shared" ca="1" si="472"/>
        <v>8.8651993040292421E-2</v>
      </c>
      <c r="AU29" s="9">
        <f t="shared" ca="1" si="472"/>
        <v>8.8904595790661012E-2</v>
      </c>
      <c r="AV29" s="9">
        <f t="shared" ca="1" si="472"/>
        <v>8.9149900050917164E-2</v>
      </c>
      <c r="AW29" s="9">
        <f t="shared" ca="1" si="472"/>
        <v>8.9388258285541117E-2</v>
      </c>
      <c r="AX29" s="9">
        <f t="shared" ca="1" si="472"/>
        <v>8.961999928616414E-2</v>
      </c>
      <c r="AY29" s="9">
        <f t="shared" ca="1" si="472"/>
        <v>8.9845430209754398E-2</v>
      </c>
      <c r="AZ29" s="9">
        <f t="shared" ref="AZ29:CW29" ca="1" si="473">AZ17/AZ$18</f>
        <v>9.006483837310747E-2</v>
      </c>
      <c r="BA29" s="9">
        <f t="shared" ca="1" si="473"/>
        <v>9.0278492880245961E-2</v>
      </c>
      <c r="BB29" s="9">
        <f t="shared" ca="1" si="473"/>
        <v>9.0486646100311777E-2</v>
      </c>
      <c r="BC29" s="9">
        <f t="shared" ca="1" si="473"/>
        <v>9.0689534991756596E-2</v>
      </c>
      <c r="BD29" s="9">
        <f t="shared" ca="1" si="473"/>
        <v>9.0887382298064853E-2</v>
      </c>
      <c r="BE29" s="9">
        <f t="shared" ca="1" si="473"/>
        <v>9.1080397635004029E-2</v>
      </c>
      <c r="BF29" s="9">
        <f t="shared" ca="1" si="473"/>
        <v>9.1268778477498938E-2</v>
      </c>
      <c r="BG29" s="9">
        <f t="shared" ca="1" si="473"/>
        <v>9.1452711055194688E-2</v>
      </c>
      <c r="BH29" s="9">
        <f t="shared" ca="1" si="473"/>
        <v>9.1632371168560697E-2</v>
      </c>
      <c r="BI29" s="9">
        <f t="shared" ca="1" si="473"/>
        <v>9.1807924933874185E-2</v>
      </c>
      <c r="BJ29" s="9">
        <f t="shared" ca="1" si="473"/>
        <v>9.197952946356619E-2</v>
      </c>
      <c r="BK29" s="9">
        <f t="shared" ca="1" si="473"/>
        <v>9.2147333488577066E-2</v>
      </c>
      <c r="BL29" s="9">
        <f t="shared" ca="1" si="473"/>
        <v>9.2311477928806424E-2</v>
      </c>
      <c r="BM29" s="9">
        <f t="shared" ca="1" si="473"/>
        <v>9.2472096416592861E-2</v>
      </c>
      <c r="BN29" s="9">
        <f t="shared" ca="1" si="473"/>
        <v>9.2629315777654375E-2</v>
      </c>
      <c r="BO29" s="9">
        <f t="shared" ca="1" si="473"/>
        <v>9.2783256473602069E-2</v>
      </c>
      <c r="BP29" s="9">
        <f t="shared" ca="1" si="473"/>
        <v>9.2934033009639247E-2</v>
      </c>
      <c r="BQ29" s="9">
        <f t="shared" ca="1" si="473"/>
        <v>9.3081754310614495E-2</v>
      </c>
      <c r="BR29" s="9">
        <f t="shared" ca="1" si="473"/>
        <v>9.3226524068304298E-2</v>
      </c>
      <c r="BS29" s="9">
        <f t="shared" ca="1" si="473"/>
        <v>9.336844106251288E-2</v>
      </c>
      <c r="BT29" s="9">
        <f t="shared" ca="1" si="473"/>
        <v>9.3507599458297827E-2</v>
      </c>
      <c r="BU29" s="9">
        <f t="shared" ca="1" si="473"/>
        <v>9.3644089081393794E-2</v>
      </c>
      <c r="BV29" s="9">
        <f t="shared" ca="1" si="473"/>
        <v>9.3777995673708398E-2</v>
      </c>
      <c r="BW29" s="9">
        <f t="shared" ca="1" si="473"/>
        <v>9.3909401130581577E-2</v>
      </c>
      <c r="BX29" s="9">
        <f t="shared" ca="1" si="473"/>
        <v>9.4038383721329263E-2</v>
      </c>
      <c r="BY29" s="9">
        <f t="shared" ca="1" si="473"/>
        <v>9.4165018294452757E-2</v>
      </c>
      <c r="BZ29" s="9">
        <f t="shared" ca="1" si="473"/>
        <v>9.4289376468761343E-2</v>
      </c>
      <c r="CA29" s="9">
        <f t="shared" ca="1" si="473"/>
        <v>9.4411526811542634E-2</v>
      </c>
      <c r="CB29" s="9">
        <f t="shared" ca="1" si="473"/>
        <v>9.4531535004807696E-2</v>
      </c>
      <c r="CC29" s="9">
        <f t="shared" ca="1" si="473"/>
        <v>9.4649464000547134E-2</v>
      </c>
      <c r="CD29" s="9">
        <f t="shared" ca="1" si="473"/>
        <v>9.4765374165849209E-2</v>
      </c>
      <c r="CE29" s="9">
        <f t="shared" ca="1" si="473"/>
        <v>9.4879323418655959E-2</v>
      </c>
      <c r="CF29" s="9">
        <f t="shared" ca="1" si="473"/>
        <v>9.4991367354865894E-2</v>
      </c>
      <c r="CG29" s="9">
        <f t="shared" ca="1" si="473"/>
        <v>9.5101559367428576E-2</v>
      </c>
      <c r="CH29" s="9">
        <f t="shared" ca="1" si="473"/>
        <v>9.5209950758024506E-2</v>
      </c>
      <c r="CI29" s="9">
        <f t="shared" ca="1" si="473"/>
        <v>9.5316590841870746E-2</v>
      </c>
      <c r="CJ29" s="9">
        <f t="shared" ca="1" si="473"/>
        <v>9.542152704614805E-2</v>
      </c>
      <c r="CK29" s="9">
        <f t="shared" ca="1" si="473"/>
        <v>9.5524805002505667E-2</v>
      </c>
      <c r="CL29" s="9">
        <f t="shared" ca="1" si="473"/>
        <v>9.5626468634062239E-2</v>
      </c>
      <c r="CM29" s="9">
        <f t="shared" ca="1" si="473"/>
        <v>9.5726560237285249E-2</v>
      </c>
      <c r="CN29" s="9">
        <f t="shared" ca="1" si="473"/>
        <v>9.5825120559104582E-2</v>
      </c>
      <c r="CO29" s="9">
        <f t="shared" ca="1" si="473"/>
        <v>9.5922188869584646E-2</v>
      </c>
      <c r="CP29" s="9">
        <f t="shared" ca="1" si="473"/>
        <v>9.6017803030456025E-2</v>
      </c>
      <c r="CQ29" s="9">
        <f t="shared" ca="1" si="473"/>
        <v>9.6111999559782321E-2</v>
      </c>
      <c r="CR29" s="9">
        <f t="shared" ca="1" si="473"/>
        <v>9.62048136930196E-2</v>
      </c>
      <c r="CS29" s="9">
        <f t="shared" ca="1" si="473"/>
        <v>9.6296279440703181E-2</v>
      </c>
      <c r="CT29" s="9">
        <f t="shared" ca="1" si="473"/>
        <v>9.6386429642981622E-2</v>
      </c>
      <c r="CU29" s="9">
        <f t="shared" ca="1" si="473"/>
        <v>9.6475296021199447E-2</v>
      </c>
      <c r="CV29" s="9">
        <f t="shared" ca="1" si="473"/>
        <v>9.6562909226716467E-2</v>
      </c>
      <c r="CW29" s="9">
        <f t="shared" ca="1" si="473"/>
        <v>9.6649298887137552E-2</v>
      </c>
      <c r="CX29" s="9">
        <f t="shared" ref="CX29:EP29" ca="1" si="474">CX17/CX$18</f>
        <v>9.673449365011387E-2</v>
      </c>
      <c r="CY29" s="9">
        <f t="shared" ca="1" si="474"/>
        <v>9.6818521224866214E-2</v>
      </c>
      <c r="CZ29" s="9">
        <f t="shared" ca="1" si="474"/>
        <v>9.6901408421568025E-2</v>
      </c>
      <c r="DA29" s="9">
        <f t="shared" ca="1" si="474"/>
        <v>9.6983181188719528E-2</v>
      </c>
      <c r="DB29" s="9">
        <f t="shared" ca="1" si="474"/>
        <v>9.7063864648632356E-2</v>
      </c>
      <c r="DC29" s="9">
        <f t="shared" ca="1" si="474"/>
        <v>9.7143483131136368E-2</v>
      </c>
      <c r="DD29" s="9">
        <f t="shared" ca="1" si="474"/>
        <v>9.7222060205614719E-2</v>
      </c>
      <c r="DE29" s="9">
        <f t="shared" ca="1" si="474"/>
        <v>9.7299618711463337E-2</v>
      </c>
      <c r="DF29" s="9">
        <f t="shared" ca="1" si="474"/>
        <v>9.7376180787066863E-2</v>
      </c>
      <c r="DG29" s="9">
        <f t="shared" ca="1" si="474"/>
        <v>9.7451767897374544E-2</v>
      </c>
      <c r="DH29" s="9">
        <f t="shared" ca="1" si="474"/>
        <v>9.7526400860157639E-2</v>
      </c>
      <c r="DI29" s="9">
        <f t="shared" ca="1" si="474"/>
        <v>9.7600099871020488E-2</v>
      </c>
      <c r="DJ29" s="9">
        <f t="shared" ca="1" si="474"/>
        <v>9.7672884527235548E-2</v>
      </c>
      <c r="DK29" s="9">
        <f t="shared" ca="1" si="474"/>
        <v>9.7744773850468161E-2</v>
      </c>
      <c r="DL29" s="9">
        <f t="shared" ca="1" si="474"/>
        <v>9.7815786308450059E-2</v>
      </c>
      <c r="DM29" s="9">
        <f t="shared" ca="1" si="474"/>
        <v>9.7885939835660629E-2</v>
      </c>
      <c r="DN29" s="9">
        <f t="shared" ca="1" si="474"/>
        <v>9.7955251853068151E-2</v>
      </c>
      <c r="DO29" s="9">
        <f t="shared" ca="1" si="474"/>
        <v>9.8023739286981493E-2</v>
      </c>
      <c r="DP29" s="9">
        <f t="shared" ca="1" si="474"/>
        <v>9.8091418587060331E-2</v>
      </c>
      <c r="DQ29" s="9">
        <f t="shared" ca="1" si="474"/>
        <v>9.8158305743525409E-2</v>
      </c>
      <c r="DR29" s="9">
        <f t="shared" ca="1" si="474"/>
        <v>9.8224416303614934E-2</v>
      </c>
      <c r="DS29" s="9">
        <f t="shared" ca="1" si="474"/>
        <v>9.8289765387321232E-2</v>
      </c>
      <c r="DT29" s="9">
        <f t="shared" ca="1" si="474"/>
        <v>9.8354367702448403E-2</v>
      </c>
      <c r="DU29" s="9">
        <f t="shared" ca="1" si="474"/>
        <v>9.8418237559022959E-2</v>
      </c>
      <c r="DV29" s="9">
        <f t="shared" ca="1" si="474"/>
        <v>9.8481388883091714E-2</v>
      </c>
      <c r="DW29" s="9">
        <f t="shared" ca="1" si="474"/>
        <v>9.8543835229936552E-2</v>
      </c>
      <c r="DX29" s="9">
        <f t="shared" ca="1" si="474"/>
        <v>9.8605589796735851E-2</v>
      </c>
      <c r="DY29" s="9">
        <f t="shared" ca="1" si="474"/>
        <v>9.8666665434699458E-2</v>
      </c>
      <c r="DZ29" s="9">
        <f t="shared" ca="1" si="474"/>
        <v>9.8727074660702061E-2</v>
      </c>
      <c r="EA29" s="9">
        <f t="shared" ca="1" si="474"/>
        <v>9.8786829668441614E-2</v>
      </c>
      <c r="EB29" s="9">
        <f t="shared" ca="1" si="474"/>
        <v>9.8845942339143525E-2</v>
      </c>
      <c r="EC29" s="9">
        <f t="shared" ca="1" si="474"/>
        <v>9.8904424251832573E-2</v>
      </c>
      <c r="ED29" s="9">
        <f t="shared" ca="1" si="474"/>
        <v>9.8962286693194831E-2</v>
      </c>
      <c r="EE29" s="9">
        <f t="shared" ca="1" si="474"/>
        <v>9.9019540667046407E-2</v>
      </c>
      <c r="EF29" s="9">
        <f t="shared" ca="1" si="474"/>
        <v>9.9076196903429559E-2</v>
      </c>
      <c r="EG29" s="9">
        <f t="shared" ca="1" si="474"/>
        <v>9.9132265867352118E-2</v>
      </c>
      <c r="EH29" s="9">
        <f t="shared" ca="1" si="474"/>
        <v>9.9187757767187051E-2</v>
      </c>
      <c r="EI29" s="9">
        <f t="shared" ca="1" si="474"/>
        <v>9.9242682562747944E-2</v>
      </c>
      <c r="EJ29" s="9">
        <f t="shared" ca="1" si="474"/>
        <v>9.9297049973055163E-2</v>
      </c>
      <c r="EK29" s="9">
        <f t="shared" ca="1" si="474"/>
        <v>9.9350869483805601E-2</v>
      </c>
      <c r="EL29" s="9">
        <f t="shared" ca="1" si="474"/>
        <v>9.9404150354561405E-2</v>
      </c>
      <c r="EM29" s="9">
        <f t="shared" ca="1" si="474"/>
        <v>9.9456901625667629E-2</v>
      </c>
      <c r="EN29" s="9">
        <f t="shared" ca="1" si="474"/>
        <v>9.9509132124912761E-2</v>
      </c>
      <c r="EO29" s="9">
        <f t="shared" ca="1" si="474"/>
        <v>9.9560850473942461E-2</v>
      </c>
      <c r="EP29" s="9">
        <f t="shared" ca="1" si="474"/>
        <v>9.9612065094438262E-2</v>
      </c>
      <c r="EQ29" s="9">
        <f t="shared" ref="EQ29:EU29" ca="1" si="475">EQ17/EQ$18</f>
        <v>9.9662784214068781E-2</v>
      </c>
      <c r="ER29" s="9">
        <f t="shared" ca="1" si="475"/>
        <v>9.9713015872227279E-2</v>
      </c>
      <c r="ES29" s="9">
        <f t="shared" ca="1" si="475"/>
        <v>9.9762767925561185E-2</v>
      </c>
      <c r="ET29" s="9">
        <f t="shared" ca="1" si="475"/>
        <v>9.9812048053303862E-2</v>
      </c>
      <c r="EU29" s="9">
        <f t="shared" ca="1" si="475"/>
        <v>9.9860863762417415E-2</v>
      </c>
    </row>
    <row r="31" spans="1:151" ht="15">
      <c r="A31" s="15" t="s">
        <v>1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</row>
    <row r="32" spans="1:151">
      <c r="A32" s="4">
        <v>0</v>
      </c>
      <c r="B32" s="6">
        <f ca="1">ABS(B21-B26)</f>
        <v>4.1942127804930895E-3</v>
      </c>
      <c r="C32" s="6">
        <f t="shared" ref="C32:AY35" ca="1" si="476">ABS(C21-C26)</f>
        <v>2.9088821169465318E-2</v>
      </c>
      <c r="D32" s="6">
        <f t="shared" ca="1" si="476"/>
        <v>1.1955487554766386E-2</v>
      </c>
      <c r="E32" s="6">
        <f t="shared" ca="1" si="476"/>
        <v>1.6531624218450947E-2</v>
      </c>
      <c r="F32" s="6">
        <f t="shared" ca="1" si="476"/>
        <v>3.939255322109203E-3</v>
      </c>
      <c r="G32" s="6">
        <f t="shared" ca="1" si="476"/>
        <v>1.6958698982743603E-3</v>
      </c>
      <c r="H32" s="6">
        <f t="shared" ca="1" si="476"/>
        <v>5.334491086242954E-4</v>
      </c>
      <c r="I32" s="6">
        <f t="shared" ca="1" si="476"/>
        <v>7.8962809768312603E-4</v>
      </c>
      <c r="J32" s="6">
        <f t="shared" ca="1" si="476"/>
        <v>5.282871992910998E-4</v>
      </c>
      <c r="K32" s="6">
        <f t="shared" ca="1" si="476"/>
        <v>1.5604005665970089E-5</v>
      </c>
      <c r="L32" s="6">
        <f t="shared" ca="1" si="476"/>
        <v>1.073129654929339E-4</v>
      </c>
      <c r="M32" s="6">
        <f t="shared" ca="1" si="476"/>
        <v>1.1343630438365171E-5</v>
      </c>
      <c r="N32" s="6">
        <f t="shared" ca="1" si="476"/>
        <v>5.1569848393939743E-5</v>
      </c>
      <c r="O32" s="6">
        <f t="shared" ca="1" si="476"/>
        <v>1.5537969360657211E-5</v>
      </c>
      <c r="P32" s="6">
        <f t="shared" ca="1" si="476"/>
        <v>9.1063355733833617E-6</v>
      </c>
      <c r="Q32" s="6">
        <f t="shared" ca="1" si="476"/>
        <v>4.7926381130380946E-6</v>
      </c>
      <c r="R32" s="6">
        <f t="shared" ca="1" si="476"/>
        <v>3.2418368288156252E-6</v>
      </c>
      <c r="S32" s="6">
        <f t="shared" ca="1" si="476"/>
        <v>3.0106888164183054E-6</v>
      </c>
      <c r="T32" s="6">
        <f t="shared" ca="1" si="476"/>
        <v>7.1275112090152248E-8</v>
      </c>
      <c r="U32" s="6">
        <f t="shared" ca="1" si="476"/>
        <v>8.5151626588730878E-7</v>
      </c>
      <c r="V32" s="6">
        <f t="shared" ca="1" si="476"/>
        <v>5.3960191925828127E-8</v>
      </c>
      <c r="W32" s="6">
        <f t="shared" ca="1" si="476"/>
        <v>3.482267265098038E-7</v>
      </c>
      <c r="X32" s="6">
        <f t="shared" ca="1" si="476"/>
        <v>1.3157721540091316E-7</v>
      </c>
      <c r="Y32" s="6">
        <f t="shared" ca="1" si="476"/>
        <v>7.5377004415955184E-8</v>
      </c>
      <c r="Z32" s="6">
        <f t="shared" ca="1" si="476"/>
        <v>5.3693723911507618E-8</v>
      </c>
      <c r="AA32" s="6">
        <f t="shared" ca="1" si="476"/>
        <v>2.0962545699276802E-8</v>
      </c>
      <c r="AB32" s="6">
        <f t="shared" ca="1" si="476"/>
        <v>2.7638021871112528E-8</v>
      </c>
      <c r="AC32" s="6">
        <f t="shared" ca="1" si="476"/>
        <v>5.3850329750915193E-10</v>
      </c>
      <c r="AD32" s="6">
        <f t="shared" ca="1" si="476"/>
        <v>8.9759942811795668E-9</v>
      </c>
      <c r="AE32" s="6">
        <f t="shared" ca="1" si="476"/>
        <v>1.6603657893021762E-9</v>
      </c>
      <c r="AF32" s="6">
        <f t="shared" ca="1" si="476"/>
        <v>3.2951013584359146E-9</v>
      </c>
      <c r="AG32" s="6">
        <f t="shared" ca="1" si="476"/>
        <v>1.5763938487900475E-9</v>
      </c>
      <c r="AH32" s="6">
        <f t="shared" ca="1" si="476"/>
        <v>7.5980272074005484E-10</v>
      </c>
      <c r="AI32" s="6">
        <f t="shared" ca="1" si="476"/>
        <v>7.0674754937272155E-10</v>
      </c>
      <c r="AJ32" s="6">
        <f t="shared" ca="1" si="476"/>
        <v>1.5963430577414783E-10</v>
      </c>
      <c r="AK32" s="6">
        <f t="shared" ca="1" si="476"/>
        <v>3.2671626515323737E-10</v>
      </c>
      <c r="AL32" s="6">
        <f t="shared" ca="1" si="476"/>
        <v>2.7446600547875732E-11</v>
      </c>
      <c r="AM32" s="6">
        <f t="shared" ca="1" si="476"/>
        <v>1.1174344782816092E-10</v>
      </c>
      <c r="AN32" s="6">
        <f t="shared" ca="1" si="476"/>
        <v>3.272432325118757E-11</v>
      </c>
      <c r="AO32" s="6">
        <f t="shared" ca="1" si="476"/>
        <v>3.7737590830033696E-11</v>
      </c>
      <c r="AP32" s="6">
        <f t="shared" ca="1" si="476"/>
        <v>2.2883861472422495E-11</v>
      </c>
      <c r="AQ32" s="6">
        <f t="shared" ca="1" si="476"/>
        <v>8.4816043077751146E-12</v>
      </c>
      <c r="AR32" s="6">
        <f t="shared" ca="1" si="476"/>
        <v>1.0460132759959606E-11</v>
      </c>
      <c r="AS32" s="6">
        <f t="shared" ca="1" si="476"/>
        <v>1.1065037774926623E-12</v>
      </c>
      <c r="AT32" s="6">
        <f t="shared" ca="1" si="476"/>
        <v>4.514499885033274E-12</v>
      </c>
      <c r="AU32" s="6">
        <f t="shared" ca="1" si="476"/>
        <v>7.2475359047530219E-13</v>
      </c>
      <c r="AV32" s="6">
        <f t="shared" ca="1" si="476"/>
        <v>1.5543677456264504E-12</v>
      </c>
      <c r="AW32" s="6">
        <f t="shared" ca="1" si="476"/>
        <v>6.2472249595657559E-13</v>
      </c>
      <c r="AX32" s="6">
        <f t="shared" ca="1" si="476"/>
        <v>4.8522297291242467E-13</v>
      </c>
      <c r="AY32" s="6">
        <f t="shared" ca="1" si="476"/>
        <v>3.7436720390360279E-13</v>
      </c>
      <c r="AZ32" s="6">
        <f t="shared" ref="AZ32:CW32" ca="1" si="477">ABS(AZ21-AZ26)</f>
        <v>9.758860386455126E-14</v>
      </c>
      <c r="BA32" s="6">
        <f t="shared" ca="1" si="477"/>
        <v>1.6892043319671757E-13</v>
      </c>
      <c r="BB32" s="6">
        <f t="shared" ca="1" si="477"/>
        <v>9.9920072216264089E-16</v>
      </c>
      <c r="BC32" s="6">
        <f t="shared" ca="1" si="477"/>
        <v>6.9277916736609768E-14</v>
      </c>
      <c r="BD32" s="6">
        <f t="shared" ca="1" si="477"/>
        <v>1.6875389974302379E-14</v>
      </c>
      <c r="BE32" s="6">
        <f t="shared" ca="1" si="477"/>
        <v>2.3425705819590803E-14</v>
      </c>
      <c r="BF32" s="6">
        <f t="shared" ca="1" si="477"/>
        <v>1.2378986724570495E-14</v>
      </c>
      <c r="BG32" s="6">
        <f t="shared" ca="1" si="477"/>
        <v>6.4948046940571658E-15</v>
      </c>
      <c r="BH32" s="6">
        <f t="shared" ca="1" si="477"/>
        <v>6.4392935428259079E-15</v>
      </c>
      <c r="BI32" s="6">
        <f t="shared" ca="1" si="477"/>
        <v>9.9920072216264089E-16</v>
      </c>
      <c r="BJ32" s="6">
        <f t="shared" ca="1" si="477"/>
        <v>2.8310687127941492E-15</v>
      </c>
      <c r="BK32" s="6">
        <f t="shared" ca="1" si="477"/>
        <v>3.8857805861880479E-16</v>
      </c>
      <c r="BL32" s="6">
        <f t="shared" ca="1" si="477"/>
        <v>1.0547118733938987E-15</v>
      </c>
      <c r="BM32" s="6">
        <f t="shared" ca="1" si="477"/>
        <v>3.3306690738754696E-16</v>
      </c>
      <c r="BN32" s="6">
        <f t="shared" ca="1" si="477"/>
        <v>4.9960036108132044E-16</v>
      </c>
      <c r="BO32" s="6">
        <f t="shared" ca="1" si="477"/>
        <v>3.8857805861880479E-16</v>
      </c>
      <c r="BP32" s="6">
        <f t="shared" ca="1" si="477"/>
        <v>1.6653345369377348E-16</v>
      </c>
      <c r="BQ32" s="6">
        <f t="shared" ca="1" si="477"/>
        <v>1.1102230246251565E-16</v>
      </c>
      <c r="BR32" s="6">
        <f t="shared" ca="1" si="477"/>
        <v>3.8857805861880479E-16</v>
      </c>
      <c r="BS32" s="6">
        <f t="shared" ca="1" si="477"/>
        <v>3.8857805861880479E-16</v>
      </c>
      <c r="BT32" s="6">
        <f t="shared" ca="1" si="477"/>
        <v>0</v>
      </c>
      <c r="BU32" s="6">
        <f t="shared" ca="1" si="477"/>
        <v>1.6653345369377348E-16</v>
      </c>
      <c r="BV32" s="6">
        <f t="shared" ca="1" si="477"/>
        <v>5.5511151231257827E-17</v>
      </c>
      <c r="BW32" s="6">
        <f t="shared" ca="1" si="477"/>
        <v>1.6653345369377348E-16</v>
      </c>
      <c r="BX32" s="6">
        <f t="shared" ca="1" si="477"/>
        <v>5.5511151231257827E-17</v>
      </c>
      <c r="BY32" s="6">
        <f t="shared" ca="1" si="477"/>
        <v>5.5511151231257827E-17</v>
      </c>
      <c r="BZ32" s="6">
        <f t="shared" ca="1" si="477"/>
        <v>0</v>
      </c>
      <c r="CA32" s="6">
        <f t="shared" ca="1" si="477"/>
        <v>5.5511151231257827E-17</v>
      </c>
      <c r="CB32" s="6">
        <f t="shared" ca="1" si="477"/>
        <v>1.1102230246251565E-16</v>
      </c>
      <c r="CC32" s="6">
        <f t="shared" ca="1" si="477"/>
        <v>0</v>
      </c>
      <c r="CD32" s="6">
        <f t="shared" ca="1" si="477"/>
        <v>1.1102230246251565E-16</v>
      </c>
      <c r="CE32" s="6">
        <f t="shared" ca="1" si="477"/>
        <v>5.5511151231257827E-17</v>
      </c>
      <c r="CF32" s="6">
        <f t="shared" ca="1" si="477"/>
        <v>1.6653345369377348E-16</v>
      </c>
      <c r="CG32" s="6">
        <f t="shared" ca="1" si="477"/>
        <v>1.1102230246251565E-16</v>
      </c>
      <c r="CH32" s="6">
        <f t="shared" ca="1" si="477"/>
        <v>0</v>
      </c>
      <c r="CI32" s="6">
        <f t="shared" ca="1" si="477"/>
        <v>0</v>
      </c>
      <c r="CJ32" s="6">
        <f t="shared" ca="1" si="477"/>
        <v>5.5511151231257827E-17</v>
      </c>
      <c r="CK32" s="6">
        <f t="shared" ca="1" si="477"/>
        <v>2.2204460492503131E-16</v>
      </c>
      <c r="CL32" s="6">
        <f t="shared" ca="1" si="477"/>
        <v>1.6653345369377348E-16</v>
      </c>
      <c r="CM32" s="6">
        <f t="shared" ca="1" si="477"/>
        <v>1.1102230246251565E-16</v>
      </c>
      <c r="CN32" s="6">
        <f t="shared" ca="1" si="477"/>
        <v>5.5511151231257827E-17</v>
      </c>
      <c r="CO32" s="6">
        <f t="shared" ca="1" si="477"/>
        <v>5.5511151231257827E-17</v>
      </c>
      <c r="CP32" s="6">
        <f t="shared" ca="1" si="477"/>
        <v>0</v>
      </c>
      <c r="CQ32" s="6">
        <f t="shared" ca="1" si="477"/>
        <v>5.5511151231257827E-17</v>
      </c>
      <c r="CR32" s="6">
        <f t="shared" ca="1" si="477"/>
        <v>5.5511151231257827E-17</v>
      </c>
      <c r="CS32" s="6">
        <f t="shared" ca="1" si="477"/>
        <v>5.5511151231257827E-17</v>
      </c>
      <c r="CT32" s="6">
        <f t="shared" ca="1" si="477"/>
        <v>5.5511151231257827E-17</v>
      </c>
      <c r="CU32" s="6">
        <f t="shared" ca="1" si="477"/>
        <v>0</v>
      </c>
      <c r="CV32" s="6">
        <f t="shared" ca="1" si="477"/>
        <v>1.1102230246251565E-16</v>
      </c>
      <c r="CW32" s="6">
        <f t="shared" ca="1" si="477"/>
        <v>1.1102230246251565E-16</v>
      </c>
      <c r="CX32" s="6">
        <f t="shared" ref="CX32:EP32" ca="1" si="478">ABS(CX21-CX26)</f>
        <v>1.1102230246251565E-16</v>
      </c>
      <c r="CY32" s="6">
        <f t="shared" ca="1" si="478"/>
        <v>1.1102230246251565E-16</v>
      </c>
      <c r="CZ32" s="6">
        <f t="shared" ca="1" si="478"/>
        <v>0</v>
      </c>
      <c r="DA32" s="6">
        <f t="shared" ca="1" si="478"/>
        <v>0</v>
      </c>
      <c r="DB32" s="6">
        <f t="shared" ca="1" si="478"/>
        <v>0</v>
      </c>
      <c r="DC32" s="6">
        <f t="shared" ca="1" si="478"/>
        <v>5.5511151231257827E-17</v>
      </c>
      <c r="DD32" s="6">
        <f t="shared" ca="1" si="478"/>
        <v>1.1102230246251565E-16</v>
      </c>
      <c r="DE32" s="6">
        <f t="shared" ca="1" si="478"/>
        <v>5.5511151231257827E-17</v>
      </c>
      <c r="DF32" s="6">
        <f t="shared" ca="1" si="478"/>
        <v>0</v>
      </c>
      <c r="DG32" s="6">
        <f t="shared" ca="1" si="478"/>
        <v>0</v>
      </c>
      <c r="DH32" s="6">
        <f t="shared" ca="1" si="478"/>
        <v>0</v>
      </c>
      <c r="DI32" s="6">
        <f t="shared" ca="1" si="478"/>
        <v>0</v>
      </c>
      <c r="DJ32" s="6">
        <f t="shared" ca="1" si="478"/>
        <v>5.5511151231257827E-17</v>
      </c>
      <c r="DK32" s="6">
        <f t="shared" ca="1" si="478"/>
        <v>5.5511151231257827E-17</v>
      </c>
      <c r="DL32" s="6">
        <f t="shared" ca="1" si="478"/>
        <v>1.6653345369377348E-16</v>
      </c>
      <c r="DM32" s="6">
        <f t="shared" ca="1" si="478"/>
        <v>1.1102230246251565E-16</v>
      </c>
      <c r="DN32" s="6">
        <f t="shared" ca="1" si="478"/>
        <v>5.5511151231257827E-17</v>
      </c>
      <c r="DO32" s="6">
        <f t="shared" ca="1" si="478"/>
        <v>0</v>
      </c>
      <c r="DP32" s="6">
        <f t="shared" ca="1" si="478"/>
        <v>5.5511151231257827E-17</v>
      </c>
      <c r="DQ32" s="6">
        <f t="shared" ca="1" si="478"/>
        <v>5.5511151231257827E-17</v>
      </c>
      <c r="DR32" s="6">
        <f t="shared" ca="1" si="478"/>
        <v>0</v>
      </c>
      <c r="DS32" s="6">
        <f t="shared" ca="1" si="478"/>
        <v>1.6653345369377348E-16</v>
      </c>
      <c r="DT32" s="6">
        <f t="shared" ca="1" si="478"/>
        <v>5.5511151231257827E-17</v>
      </c>
      <c r="DU32" s="6">
        <f t="shared" ca="1" si="478"/>
        <v>2.7755575615628914E-16</v>
      </c>
      <c r="DV32" s="6">
        <f t="shared" ca="1" si="478"/>
        <v>1.1102230246251565E-16</v>
      </c>
      <c r="DW32" s="6">
        <f t="shared" ca="1" si="478"/>
        <v>1.1102230246251565E-16</v>
      </c>
      <c r="DX32" s="6">
        <f t="shared" ca="1" si="478"/>
        <v>0</v>
      </c>
      <c r="DY32" s="6">
        <f t="shared" ca="1" si="478"/>
        <v>1.1102230246251565E-16</v>
      </c>
      <c r="DZ32" s="6">
        <f t="shared" ca="1" si="478"/>
        <v>1.1102230246251565E-16</v>
      </c>
      <c r="EA32" s="6">
        <f t="shared" ca="1" si="478"/>
        <v>1.1102230246251565E-16</v>
      </c>
      <c r="EB32" s="6">
        <f t="shared" ca="1" si="478"/>
        <v>5.5511151231257827E-17</v>
      </c>
      <c r="EC32" s="6">
        <f t="shared" ca="1" si="478"/>
        <v>1.1102230246251565E-16</v>
      </c>
      <c r="ED32" s="6">
        <f t="shared" ca="1" si="478"/>
        <v>2.2204460492503131E-16</v>
      </c>
      <c r="EE32" s="6">
        <f t="shared" ca="1" si="478"/>
        <v>5.5511151231257827E-17</v>
      </c>
      <c r="EF32" s="6">
        <f t="shared" ca="1" si="478"/>
        <v>3.3306690738754696E-16</v>
      </c>
      <c r="EG32" s="6">
        <f t="shared" ca="1" si="478"/>
        <v>2.2204460492503131E-16</v>
      </c>
      <c r="EH32" s="6">
        <f t="shared" ca="1" si="478"/>
        <v>0</v>
      </c>
      <c r="EI32" s="6">
        <f t="shared" ca="1" si="478"/>
        <v>1.1102230246251565E-16</v>
      </c>
      <c r="EJ32" s="6">
        <f t="shared" ca="1" si="478"/>
        <v>0</v>
      </c>
      <c r="EK32" s="6">
        <f t="shared" ca="1" si="478"/>
        <v>2.2204460492503131E-16</v>
      </c>
      <c r="EL32" s="6">
        <f t="shared" ca="1" si="478"/>
        <v>2.2204460492503131E-16</v>
      </c>
      <c r="EM32" s="6">
        <f t="shared" ca="1" si="478"/>
        <v>5.5511151231257827E-17</v>
      </c>
      <c r="EN32" s="6">
        <f t="shared" ca="1" si="478"/>
        <v>5.5511151231257827E-17</v>
      </c>
      <c r="EO32" s="6">
        <f t="shared" ca="1" si="478"/>
        <v>5.5511151231257827E-17</v>
      </c>
      <c r="EP32" s="6">
        <f t="shared" ca="1" si="478"/>
        <v>1.1102230246251565E-16</v>
      </c>
    </row>
    <row r="33" spans="1:146">
      <c r="A33" s="4">
        <f>A32+1</f>
        <v>1</v>
      </c>
      <c r="B33" s="6">
        <f t="shared" ref="B33:Q35" ca="1" si="479">ABS(B22-B27)</f>
        <v>0.22140275115278102</v>
      </c>
      <c r="C33" s="6">
        <f t="shared" ca="1" si="479"/>
        <v>2.3204742914794824E-3</v>
      </c>
      <c r="D33" s="6">
        <f t="shared" ca="1" si="479"/>
        <v>1.7409125539191772E-2</v>
      </c>
      <c r="E33" s="6">
        <f t="shared" ca="1" si="479"/>
        <v>7.5216643556476614E-3</v>
      </c>
      <c r="F33" s="6">
        <f t="shared" ca="1" si="479"/>
        <v>1.0777447490215253E-2</v>
      </c>
      <c r="G33" s="6">
        <f t="shared" ca="1" si="479"/>
        <v>2.6386723545986368E-3</v>
      </c>
      <c r="H33" s="6">
        <f t="shared" ca="1" si="479"/>
        <v>1.1607475801363454E-3</v>
      </c>
      <c r="I33" s="6">
        <f t="shared" ca="1" si="479"/>
        <v>3.7165882662842931E-4</v>
      </c>
      <c r="J33" s="6">
        <f t="shared" ca="1" si="479"/>
        <v>5.5842185568155678E-4</v>
      </c>
      <c r="K33" s="6">
        <f t="shared" ca="1" si="479"/>
        <v>3.7842130302684351E-4</v>
      </c>
      <c r="L33" s="6">
        <f t="shared" ca="1" si="479"/>
        <v>1.130284190370423E-5</v>
      </c>
      <c r="M33" s="6">
        <f t="shared" ca="1" si="479"/>
        <v>7.8501015767951099E-5</v>
      </c>
      <c r="N33" s="6">
        <f t="shared" ca="1" si="479"/>
        <v>8.3710320388230564E-6</v>
      </c>
      <c r="O33" s="6">
        <f t="shared" ca="1" si="479"/>
        <v>3.8356566665065372E-5</v>
      </c>
      <c r="P33" s="6">
        <f t="shared" ca="1" si="479"/>
        <v>1.1639397425766695E-5</v>
      </c>
      <c r="Q33" s="6">
        <f t="shared" ca="1" si="479"/>
        <v>6.8658879323058031E-6</v>
      </c>
      <c r="R33" s="6">
        <f t="shared" ca="1" si="476"/>
        <v>3.6350313047939231E-6</v>
      </c>
      <c r="S33" s="6">
        <f t="shared" ca="1" si="476"/>
        <v>2.4722962182477382E-6</v>
      </c>
      <c r="T33" s="6">
        <f t="shared" ca="1" si="476"/>
        <v>2.3076634397822815E-6</v>
      </c>
      <c r="U33" s="6">
        <f t="shared" ca="1" si="476"/>
        <v>5.488892951266422E-8</v>
      </c>
      <c r="V33" s="6">
        <f t="shared" ca="1" si="476"/>
        <v>6.5862943293693021E-7</v>
      </c>
      <c r="W33" s="6">
        <f t="shared" ca="1" si="476"/>
        <v>4.1908234438281511E-8</v>
      </c>
      <c r="X33" s="6">
        <f t="shared" ca="1" si="476"/>
        <v>2.7149074827148567E-7</v>
      </c>
      <c r="Y33" s="6">
        <f t="shared" ca="1" si="476"/>
        <v>1.0295352009803693E-7</v>
      </c>
      <c r="Z33" s="6">
        <f t="shared" ca="1" si="476"/>
        <v>5.9180292666383139E-8</v>
      </c>
      <c r="AA33" s="6">
        <f t="shared" ca="1" si="476"/>
        <v>4.2291978530339946E-8</v>
      </c>
      <c r="AB33" s="6">
        <f t="shared" ca="1" si="476"/>
        <v>1.6561534310621795E-8</v>
      </c>
      <c r="AC33" s="6">
        <f t="shared" ca="1" si="476"/>
        <v>2.1898673707720917E-8</v>
      </c>
      <c r="AD33" s="6">
        <f t="shared" ca="1" si="476"/>
        <v>4.2784986664656799E-10</v>
      </c>
      <c r="AE33" s="6">
        <f t="shared" ca="1" si="476"/>
        <v>7.1502425647018697E-9</v>
      </c>
      <c r="AF33" s="6">
        <f t="shared" ca="1" si="476"/>
        <v>1.3259419118227811E-9</v>
      </c>
      <c r="AG33" s="6">
        <f t="shared" ca="1" si="476"/>
        <v>2.6376877904077389E-9</v>
      </c>
      <c r="AH33" s="6">
        <f t="shared" ca="1" si="476"/>
        <v>1.2647600744486454E-9</v>
      </c>
      <c r="AI33" s="6">
        <f t="shared" ca="1" si="476"/>
        <v>6.1092969572129618E-10</v>
      </c>
      <c r="AJ33" s="6">
        <f t="shared" ca="1" si="476"/>
        <v>5.6945925752671656E-10</v>
      </c>
      <c r="AK33" s="6">
        <f t="shared" ca="1" si="476"/>
        <v>1.2888318190462655E-10</v>
      </c>
      <c r="AL33" s="6">
        <f t="shared" ca="1" si="476"/>
        <v>2.6428870203432098E-10</v>
      </c>
      <c r="AM33" s="6">
        <f t="shared" ca="1" si="476"/>
        <v>2.2243540342969936E-11</v>
      </c>
      <c r="AN33" s="6">
        <f t="shared" ca="1" si="476"/>
        <v>9.0721874457244667E-11</v>
      </c>
      <c r="AO33" s="6">
        <f t="shared" ca="1" si="476"/>
        <v>2.6613877768255634E-11</v>
      </c>
      <c r="AP33" s="6">
        <f t="shared" ca="1" si="476"/>
        <v>3.0742186574173047E-11</v>
      </c>
      <c r="AQ33" s="6">
        <f t="shared" ca="1" si="476"/>
        <v>1.8671786339297114E-11</v>
      </c>
      <c r="AR33" s="6">
        <f t="shared" ca="1" si="476"/>
        <v>6.931066831583621E-12</v>
      </c>
      <c r="AS33" s="6">
        <f t="shared" ca="1" si="476"/>
        <v>8.5609297428845821E-12</v>
      </c>
      <c r="AT33" s="6">
        <f t="shared" ca="1" si="476"/>
        <v>9.0688567766505912E-13</v>
      </c>
      <c r="AU33" s="6">
        <f t="shared" ca="1" si="476"/>
        <v>3.7053138335352287E-12</v>
      </c>
      <c r="AV33" s="6">
        <f t="shared" ca="1" si="476"/>
        <v>5.95745675013859E-13</v>
      </c>
      <c r="AW33" s="6">
        <f t="shared" ca="1" si="476"/>
        <v>1.2791989689731054E-12</v>
      </c>
      <c r="AX33" s="6">
        <f t="shared" ca="1" si="476"/>
        <v>5.1486592766991635E-13</v>
      </c>
      <c r="AY33" s="6">
        <f t="shared" ca="1" si="476"/>
        <v>4.0034642267983145E-13</v>
      </c>
      <c r="AZ33" s="6">
        <f t="shared" ref="AZ33:CW33" ca="1" si="480">ABS(AZ22-AZ27)</f>
        <v>3.0925262350933735E-13</v>
      </c>
      <c r="BA33" s="6">
        <f t="shared" ca="1" si="480"/>
        <v>8.071321389024888E-14</v>
      </c>
      <c r="BB33" s="6">
        <f t="shared" ca="1" si="480"/>
        <v>1.3988810110276972E-13</v>
      </c>
      <c r="BC33" s="6">
        <f t="shared" ca="1" si="480"/>
        <v>8.8817841970012523E-16</v>
      </c>
      <c r="BD33" s="6">
        <f t="shared" ca="1" si="480"/>
        <v>5.7509552675583109E-14</v>
      </c>
      <c r="BE33" s="6">
        <f t="shared" ca="1" si="480"/>
        <v>1.3988810110276972E-14</v>
      </c>
      <c r="BF33" s="6">
        <f t="shared" ca="1" si="480"/>
        <v>1.9428902930940239E-14</v>
      </c>
      <c r="BG33" s="6">
        <f t="shared" ca="1" si="480"/>
        <v>1.021405182655144E-14</v>
      </c>
      <c r="BH33" s="6">
        <f t="shared" ca="1" si="480"/>
        <v>5.3290705182007514E-15</v>
      </c>
      <c r="BI33" s="6">
        <f t="shared" ca="1" si="480"/>
        <v>5.3290705182007514E-15</v>
      </c>
      <c r="BJ33" s="6">
        <f t="shared" ca="1" si="480"/>
        <v>8.3266726846886741E-16</v>
      </c>
      <c r="BK33" s="6">
        <f t="shared" ca="1" si="480"/>
        <v>2.4424906541753444E-15</v>
      </c>
      <c r="BL33" s="6">
        <f t="shared" ca="1" si="480"/>
        <v>2.2204460492503131E-16</v>
      </c>
      <c r="BM33" s="6">
        <f t="shared" ca="1" si="480"/>
        <v>9.4368957093138306E-16</v>
      </c>
      <c r="BN33" s="6">
        <f t="shared" ca="1" si="480"/>
        <v>2.7755575615628914E-16</v>
      </c>
      <c r="BO33" s="6">
        <f t="shared" ca="1" si="480"/>
        <v>3.8857805861880479E-16</v>
      </c>
      <c r="BP33" s="6">
        <f t="shared" ca="1" si="480"/>
        <v>2.7755575615628914E-16</v>
      </c>
      <c r="BQ33" s="6">
        <f t="shared" ca="1" si="480"/>
        <v>5.5511151231257827E-17</v>
      </c>
      <c r="BR33" s="6">
        <f t="shared" ca="1" si="480"/>
        <v>0</v>
      </c>
      <c r="BS33" s="6">
        <f t="shared" ca="1" si="480"/>
        <v>3.8857805861880479E-16</v>
      </c>
      <c r="BT33" s="6">
        <f t="shared" ca="1" si="480"/>
        <v>3.3306690738754696E-16</v>
      </c>
      <c r="BU33" s="6">
        <f t="shared" ca="1" si="480"/>
        <v>5.5511151231257827E-17</v>
      </c>
      <c r="BV33" s="6">
        <f t="shared" ca="1" si="480"/>
        <v>1.6653345369377348E-16</v>
      </c>
      <c r="BW33" s="6">
        <f t="shared" ca="1" si="480"/>
        <v>5.5511151231257827E-17</v>
      </c>
      <c r="BX33" s="6">
        <f t="shared" ca="1" si="480"/>
        <v>1.1102230246251565E-16</v>
      </c>
      <c r="BY33" s="6">
        <f t="shared" ca="1" si="480"/>
        <v>1.1102230246251565E-16</v>
      </c>
      <c r="BZ33" s="6">
        <f t="shared" ca="1" si="480"/>
        <v>5.5511151231257827E-17</v>
      </c>
      <c r="CA33" s="6">
        <f t="shared" ca="1" si="480"/>
        <v>5.5511151231257827E-17</v>
      </c>
      <c r="CB33" s="6">
        <f t="shared" ca="1" si="480"/>
        <v>0</v>
      </c>
      <c r="CC33" s="6">
        <f t="shared" ca="1" si="480"/>
        <v>5.5511151231257827E-17</v>
      </c>
      <c r="CD33" s="6">
        <f t="shared" ca="1" si="480"/>
        <v>0</v>
      </c>
      <c r="CE33" s="6">
        <f t="shared" ca="1" si="480"/>
        <v>1.6653345369377348E-16</v>
      </c>
      <c r="CF33" s="6">
        <f t="shared" ca="1" si="480"/>
        <v>0</v>
      </c>
      <c r="CG33" s="6">
        <f t="shared" ca="1" si="480"/>
        <v>1.1102230246251565E-16</v>
      </c>
      <c r="CH33" s="6">
        <f t="shared" ca="1" si="480"/>
        <v>1.1102230246251565E-16</v>
      </c>
      <c r="CI33" s="6">
        <f t="shared" ca="1" si="480"/>
        <v>5.5511151231257827E-17</v>
      </c>
      <c r="CJ33" s="6">
        <f t="shared" ca="1" si="480"/>
        <v>5.5511151231257827E-17</v>
      </c>
      <c r="CK33" s="6">
        <f t="shared" ca="1" si="480"/>
        <v>5.5511151231257827E-17</v>
      </c>
      <c r="CL33" s="6">
        <f t="shared" ca="1" si="480"/>
        <v>1.6653345369377348E-16</v>
      </c>
      <c r="CM33" s="6">
        <f t="shared" ca="1" si="480"/>
        <v>1.6653345369377348E-16</v>
      </c>
      <c r="CN33" s="6">
        <f t="shared" ca="1" si="480"/>
        <v>5.5511151231257827E-17</v>
      </c>
      <c r="CO33" s="6">
        <f t="shared" ca="1" si="480"/>
        <v>5.5511151231257827E-17</v>
      </c>
      <c r="CP33" s="6">
        <f t="shared" ca="1" si="480"/>
        <v>0</v>
      </c>
      <c r="CQ33" s="6">
        <f t="shared" ca="1" si="480"/>
        <v>5.5511151231257827E-17</v>
      </c>
      <c r="CR33" s="6">
        <f t="shared" ca="1" si="480"/>
        <v>0</v>
      </c>
      <c r="CS33" s="6">
        <f t="shared" ca="1" si="480"/>
        <v>5.5511151231257827E-17</v>
      </c>
      <c r="CT33" s="6">
        <f t="shared" ca="1" si="480"/>
        <v>0</v>
      </c>
      <c r="CU33" s="6">
        <f t="shared" ca="1" si="480"/>
        <v>0</v>
      </c>
      <c r="CV33" s="6">
        <f t="shared" ca="1" si="480"/>
        <v>0</v>
      </c>
      <c r="CW33" s="6">
        <f t="shared" ca="1" si="480"/>
        <v>1.6653345369377348E-16</v>
      </c>
      <c r="CX33" s="6">
        <f t="shared" ref="CX33:EP33" ca="1" si="481">ABS(CX22-CX27)</f>
        <v>1.6653345369377348E-16</v>
      </c>
      <c r="CY33" s="6">
        <f t="shared" ca="1" si="481"/>
        <v>1.1102230246251565E-16</v>
      </c>
      <c r="CZ33" s="6">
        <f t="shared" ca="1" si="481"/>
        <v>5.5511151231257827E-17</v>
      </c>
      <c r="DA33" s="6">
        <f t="shared" ca="1" si="481"/>
        <v>0</v>
      </c>
      <c r="DB33" s="6">
        <f t="shared" ca="1" si="481"/>
        <v>0</v>
      </c>
      <c r="DC33" s="6">
        <f t="shared" ca="1" si="481"/>
        <v>5.5511151231257827E-17</v>
      </c>
      <c r="DD33" s="6">
        <f t="shared" ca="1" si="481"/>
        <v>5.5511151231257827E-17</v>
      </c>
      <c r="DE33" s="6">
        <f t="shared" ca="1" si="481"/>
        <v>1.1102230246251565E-16</v>
      </c>
      <c r="DF33" s="6">
        <f t="shared" ca="1" si="481"/>
        <v>5.5511151231257827E-17</v>
      </c>
      <c r="DG33" s="6">
        <f t="shared" ca="1" si="481"/>
        <v>0</v>
      </c>
      <c r="DH33" s="6">
        <f t="shared" ca="1" si="481"/>
        <v>5.5511151231257827E-17</v>
      </c>
      <c r="DI33" s="6">
        <f t="shared" ca="1" si="481"/>
        <v>0</v>
      </c>
      <c r="DJ33" s="6">
        <f t="shared" ca="1" si="481"/>
        <v>5.5511151231257827E-17</v>
      </c>
      <c r="DK33" s="6">
        <f t="shared" ca="1" si="481"/>
        <v>0</v>
      </c>
      <c r="DL33" s="6">
        <f t="shared" ca="1" si="481"/>
        <v>5.5511151231257827E-17</v>
      </c>
      <c r="DM33" s="6">
        <f t="shared" ca="1" si="481"/>
        <v>2.2204460492503131E-16</v>
      </c>
      <c r="DN33" s="6">
        <f t="shared" ca="1" si="481"/>
        <v>1.1102230246251565E-16</v>
      </c>
      <c r="DO33" s="6">
        <f t="shared" ca="1" si="481"/>
        <v>0</v>
      </c>
      <c r="DP33" s="6">
        <f t="shared" ca="1" si="481"/>
        <v>5.5511151231257827E-17</v>
      </c>
      <c r="DQ33" s="6">
        <f t="shared" ca="1" si="481"/>
        <v>5.5511151231257827E-17</v>
      </c>
      <c r="DR33" s="6">
        <f t="shared" ca="1" si="481"/>
        <v>1.1102230246251565E-16</v>
      </c>
      <c r="DS33" s="6">
        <f t="shared" ca="1" si="481"/>
        <v>5.5511151231257827E-17</v>
      </c>
      <c r="DT33" s="6">
        <f t="shared" ca="1" si="481"/>
        <v>5.5511151231257827E-17</v>
      </c>
      <c r="DU33" s="6">
        <f t="shared" ca="1" si="481"/>
        <v>5.5511151231257827E-17</v>
      </c>
      <c r="DV33" s="6">
        <f t="shared" ca="1" si="481"/>
        <v>2.2204460492503131E-16</v>
      </c>
      <c r="DW33" s="6">
        <f t="shared" ca="1" si="481"/>
        <v>0</v>
      </c>
      <c r="DX33" s="6">
        <f t="shared" ca="1" si="481"/>
        <v>1.1102230246251565E-16</v>
      </c>
      <c r="DY33" s="6">
        <f t="shared" ca="1" si="481"/>
        <v>0</v>
      </c>
      <c r="DZ33" s="6">
        <f t="shared" ca="1" si="481"/>
        <v>5.5511151231257827E-17</v>
      </c>
      <c r="EA33" s="6">
        <f t="shared" ca="1" si="481"/>
        <v>5.5511151231257827E-17</v>
      </c>
      <c r="EB33" s="6">
        <f t="shared" ca="1" si="481"/>
        <v>1.1102230246251565E-16</v>
      </c>
      <c r="EC33" s="6">
        <f t="shared" ca="1" si="481"/>
        <v>5.5511151231257827E-17</v>
      </c>
      <c r="ED33" s="6">
        <f t="shared" ca="1" si="481"/>
        <v>1.1102230246251565E-16</v>
      </c>
      <c r="EE33" s="6">
        <f t="shared" ca="1" si="481"/>
        <v>1.6653345369377348E-16</v>
      </c>
      <c r="EF33" s="6">
        <f t="shared" ca="1" si="481"/>
        <v>0</v>
      </c>
      <c r="EG33" s="6">
        <f t="shared" ca="1" si="481"/>
        <v>3.3306690738754696E-16</v>
      </c>
      <c r="EH33" s="6">
        <f t="shared" ca="1" si="481"/>
        <v>1.6653345369377348E-16</v>
      </c>
      <c r="EI33" s="6">
        <f t="shared" ca="1" si="481"/>
        <v>5.5511151231257827E-17</v>
      </c>
      <c r="EJ33" s="6">
        <f t="shared" ca="1" si="481"/>
        <v>1.6653345369377348E-16</v>
      </c>
      <c r="EK33" s="6">
        <f t="shared" ca="1" si="481"/>
        <v>5.5511151231257827E-17</v>
      </c>
      <c r="EL33" s="6">
        <f t="shared" ca="1" si="481"/>
        <v>2.7755575615628914E-16</v>
      </c>
      <c r="EM33" s="6">
        <f t="shared" ca="1" si="481"/>
        <v>2.2204460492503131E-16</v>
      </c>
      <c r="EN33" s="6">
        <f t="shared" ca="1" si="481"/>
        <v>0</v>
      </c>
      <c r="EO33" s="6">
        <f t="shared" ca="1" si="481"/>
        <v>0</v>
      </c>
      <c r="EP33" s="6">
        <f t="shared" ca="1" si="481"/>
        <v>5.5511151231257827E-17</v>
      </c>
    </row>
    <row r="34" spans="1:146">
      <c r="A34" s="4">
        <f t="shared" ref="A34:A35" si="482">A33+1</f>
        <v>2</v>
      </c>
      <c r="B34" s="6">
        <f t="shared" ca="1" si="479"/>
        <v>0.2242378982726112</v>
      </c>
      <c r="C34" s="6">
        <f t="shared" ca="1" si="476"/>
        <v>9.6704564435906082E-2</v>
      </c>
      <c r="D34" s="6">
        <f t="shared" ca="1" si="476"/>
        <v>1.0963904768782409E-3</v>
      </c>
      <c r="E34" s="6">
        <f t="shared" ca="1" si="476"/>
        <v>8.6469166585389223E-3</v>
      </c>
      <c r="F34" s="6">
        <f t="shared" ca="1" si="476"/>
        <v>3.8712569551619114E-3</v>
      </c>
      <c r="G34" s="6">
        <f t="shared" ca="1" si="476"/>
        <v>5.6993445167613788E-3</v>
      </c>
      <c r="H34" s="6">
        <f t="shared" ca="1" si="476"/>
        <v>1.4258320759884813E-3</v>
      </c>
      <c r="I34" s="6">
        <f t="shared" ca="1" si="476"/>
        <v>6.3845001677820257E-4</v>
      </c>
      <c r="J34" s="6">
        <f t="shared" ca="1" si="476"/>
        <v>2.0750182628134772E-4</v>
      </c>
      <c r="K34" s="6">
        <f t="shared" ca="1" si="476"/>
        <v>3.1579522197688892E-4</v>
      </c>
      <c r="L34" s="6">
        <f t="shared" ca="1" si="476"/>
        <v>2.1640375315357119E-4</v>
      </c>
      <c r="M34" s="6">
        <f t="shared" ca="1" si="476"/>
        <v>6.5275227052463691E-6</v>
      </c>
      <c r="N34" s="6">
        <f t="shared" ca="1" si="476"/>
        <v>4.5734071805580978E-5</v>
      </c>
      <c r="O34" s="6">
        <f t="shared" ca="1" si="476"/>
        <v>4.9154188847266855E-6</v>
      </c>
      <c r="P34" s="6">
        <f t="shared" ca="1" si="476"/>
        <v>2.2683685683172472E-5</v>
      </c>
      <c r="Q34" s="6">
        <f t="shared" ca="1" si="476"/>
        <v>6.9282127534431304E-6</v>
      </c>
      <c r="R34" s="6">
        <f t="shared" ca="1" si="476"/>
        <v>4.1111932038984111E-6</v>
      </c>
      <c r="S34" s="6">
        <f t="shared" ca="1" si="476"/>
        <v>2.1885434146606819E-6</v>
      </c>
      <c r="T34" s="6">
        <f t="shared" ca="1" si="476"/>
        <v>1.4960453647017147E-6</v>
      </c>
      <c r="U34" s="6">
        <f t="shared" ca="1" si="476"/>
        <v>1.4029977647711522E-6</v>
      </c>
      <c r="V34" s="6">
        <f t="shared" ca="1" si="476"/>
        <v>3.351742183799189E-8</v>
      </c>
      <c r="W34" s="6">
        <f t="shared" ca="1" si="476"/>
        <v>4.0383566499158086E-7</v>
      </c>
      <c r="X34" s="6">
        <f t="shared" ca="1" si="476"/>
        <v>2.5794668845335877E-8</v>
      </c>
      <c r="Y34" s="6">
        <f t="shared" ca="1" si="476"/>
        <v>1.6770777683250415E-7</v>
      </c>
      <c r="Z34" s="6">
        <f t="shared" ca="1" si="476"/>
        <v>6.3814165285336344E-8</v>
      </c>
      <c r="AA34" s="6">
        <f t="shared" ca="1" si="476"/>
        <v>3.6800120867264141E-8</v>
      </c>
      <c r="AB34" s="6">
        <f t="shared" ca="1" si="476"/>
        <v>2.6378628142920135E-8</v>
      </c>
      <c r="AC34" s="6">
        <f t="shared" ca="1" si="476"/>
        <v>1.0359745422627853E-8</v>
      </c>
      <c r="AD34" s="6">
        <f t="shared" ca="1" si="476"/>
        <v>1.373594493703223E-8</v>
      </c>
      <c r="AE34" s="6">
        <f t="shared" ca="1" si="476"/>
        <v>2.6907126526865E-10</v>
      </c>
      <c r="AF34" s="6">
        <f t="shared" ca="1" si="476"/>
        <v>4.5079505683887078E-9</v>
      </c>
      <c r="AG34" s="6">
        <f t="shared" ca="1" si="476"/>
        <v>8.3794735039610657E-10</v>
      </c>
      <c r="AH34" s="6">
        <f t="shared" ca="1" si="476"/>
        <v>1.6707230876544799E-9</v>
      </c>
      <c r="AI34" s="6">
        <f t="shared" ca="1" si="476"/>
        <v>8.0285331161000784E-10</v>
      </c>
      <c r="AJ34" s="6">
        <f t="shared" ca="1" si="476"/>
        <v>3.8862196793942871E-10</v>
      </c>
      <c r="AK34" s="6">
        <f t="shared" ca="1" si="476"/>
        <v>3.6296976535510339E-10</v>
      </c>
      <c r="AL34" s="6">
        <f t="shared" ca="1" si="476"/>
        <v>8.2307993753971687E-11</v>
      </c>
      <c r="AM34" s="6">
        <f t="shared" ca="1" si="476"/>
        <v>1.690947104560081E-10</v>
      </c>
      <c r="AN34" s="6">
        <f t="shared" ca="1" si="476"/>
        <v>1.4257123259753257E-11</v>
      </c>
      <c r="AO34" s="6">
        <f t="shared" ca="1" si="476"/>
        <v>5.8249016721134694E-11</v>
      </c>
      <c r="AP34" s="6">
        <f t="shared" ca="1" si="476"/>
        <v>1.711616959276796E-11</v>
      </c>
      <c r="AQ34" s="6">
        <f t="shared" ca="1" si="476"/>
        <v>1.9802937067936455E-11</v>
      </c>
      <c r="AR34" s="6">
        <f t="shared" ca="1" si="476"/>
        <v>1.2046308395241567E-11</v>
      </c>
      <c r="AS34" s="6">
        <f t="shared" ca="1" si="476"/>
        <v>4.4783898811573408E-12</v>
      </c>
      <c r="AT34" s="6">
        <f t="shared" ca="1" si="476"/>
        <v>5.5394855369428342E-12</v>
      </c>
      <c r="AU34" s="6">
        <f t="shared" ca="1" si="476"/>
        <v>5.8766880250971099E-13</v>
      </c>
      <c r="AV34" s="6">
        <f t="shared" ca="1" si="476"/>
        <v>2.4042434709770077E-12</v>
      </c>
      <c r="AW34" s="6">
        <f t="shared" ca="1" si="476"/>
        <v>3.8702374638432957E-13</v>
      </c>
      <c r="AX34" s="6">
        <f t="shared" ca="1" si="476"/>
        <v>8.3216766810778608E-13</v>
      </c>
      <c r="AY34" s="6">
        <f t="shared" ca="1" si="476"/>
        <v>3.353151090124129E-13</v>
      </c>
      <c r="AZ34" s="6">
        <f t="shared" ref="AZ34:CW34" ca="1" si="483">ABS(AZ23-AZ28)</f>
        <v>2.6109669981622119E-13</v>
      </c>
      <c r="BA34" s="6">
        <f t="shared" ca="1" si="483"/>
        <v>2.0189405702808472E-13</v>
      </c>
      <c r="BB34" s="6">
        <f t="shared" ca="1" si="483"/>
        <v>5.2735593669694936E-14</v>
      </c>
      <c r="BC34" s="6">
        <f t="shared" ca="1" si="483"/>
        <v>9.1510132804728528E-14</v>
      </c>
      <c r="BD34" s="6">
        <f t="shared" ca="1" si="483"/>
        <v>6.106226635438361E-16</v>
      </c>
      <c r="BE34" s="6">
        <f t="shared" ca="1" si="483"/>
        <v>3.7692071686024065E-14</v>
      </c>
      <c r="BF34" s="6">
        <f t="shared" ca="1" si="483"/>
        <v>9.1870955287731704E-15</v>
      </c>
      <c r="BG34" s="6">
        <f t="shared" ca="1" si="483"/>
        <v>1.2823075934420558E-14</v>
      </c>
      <c r="BH34" s="6">
        <f t="shared" ca="1" si="483"/>
        <v>6.6890937233665682E-15</v>
      </c>
      <c r="BI34" s="6">
        <f t="shared" ca="1" si="483"/>
        <v>3.5804692544161298E-15</v>
      </c>
      <c r="BJ34" s="6">
        <f t="shared" ca="1" si="483"/>
        <v>3.4972025275692431E-15</v>
      </c>
      <c r="BK34" s="6">
        <f t="shared" ca="1" si="483"/>
        <v>5.2735593669694936E-16</v>
      </c>
      <c r="BL34" s="6">
        <f t="shared" ca="1" si="483"/>
        <v>1.609823385706477E-15</v>
      </c>
      <c r="BM34" s="6">
        <f t="shared" ca="1" si="483"/>
        <v>1.9428902930940239E-16</v>
      </c>
      <c r="BN34" s="6">
        <f t="shared" ca="1" si="483"/>
        <v>6.106226635438361E-16</v>
      </c>
      <c r="BO34" s="6">
        <f t="shared" ca="1" si="483"/>
        <v>1.9428902930940239E-16</v>
      </c>
      <c r="BP34" s="6">
        <f t="shared" ca="1" si="483"/>
        <v>2.7755575615628914E-16</v>
      </c>
      <c r="BQ34" s="6">
        <f t="shared" ca="1" si="483"/>
        <v>2.7755575615628914E-16</v>
      </c>
      <c r="BR34" s="6">
        <f t="shared" ca="1" si="483"/>
        <v>2.7755575615628914E-17</v>
      </c>
      <c r="BS34" s="6">
        <f t="shared" ca="1" si="483"/>
        <v>5.5511151231257827E-17</v>
      </c>
      <c r="BT34" s="6">
        <f t="shared" ca="1" si="483"/>
        <v>2.7755575615628914E-16</v>
      </c>
      <c r="BU34" s="6">
        <f t="shared" ca="1" si="483"/>
        <v>1.6653345369377348E-16</v>
      </c>
      <c r="BV34" s="6">
        <f t="shared" ca="1" si="483"/>
        <v>5.5511151231257827E-17</v>
      </c>
      <c r="BW34" s="6">
        <f t="shared" ca="1" si="483"/>
        <v>1.3877787807814457E-16</v>
      </c>
      <c r="BX34" s="6">
        <f t="shared" ca="1" si="483"/>
        <v>5.5511151231257827E-17</v>
      </c>
      <c r="BY34" s="6">
        <f t="shared" ca="1" si="483"/>
        <v>2.7755575615628914E-17</v>
      </c>
      <c r="BZ34" s="6">
        <f t="shared" ca="1" si="483"/>
        <v>5.5511151231257827E-17</v>
      </c>
      <c r="CA34" s="6">
        <f t="shared" ca="1" si="483"/>
        <v>5.5511151231257827E-17</v>
      </c>
      <c r="CB34" s="6">
        <f t="shared" ca="1" si="483"/>
        <v>2.7755575615628914E-17</v>
      </c>
      <c r="CC34" s="6">
        <f t="shared" ca="1" si="483"/>
        <v>0</v>
      </c>
      <c r="CD34" s="6">
        <f t="shared" ca="1" si="483"/>
        <v>5.5511151231257827E-17</v>
      </c>
      <c r="CE34" s="6">
        <f t="shared" ca="1" si="483"/>
        <v>2.7755575615628914E-17</v>
      </c>
      <c r="CF34" s="6">
        <f t="shared" ca="1" si="483"/>
        <v>1.6653345369377348E-16</v>
      </c>
      <c r="CG34" s="6">
        <f t="shared" ca="1" si="483"/>
        <v>2.7755575615628914E-17</v>
      </c>
      <c r="CH34" s="6">
        <f t="shared" ca="1" si="483"/>
        <v>8.3266726846886741E-17</v>
      </c>
      <c r="CI34" s="6">
        <f t="shared" ca="1" si="483"/>
        <v>1.1102230246251565E-16</v>
      </c>
      <c r="CJ34" s="6">
        <f t="shared" ca="1" si="483"/>
        <v>5.5511151231257827E-17</v>
      </c>
      <c r="CK34" s="6">
        <f t="shared" ca="1" si="483"/>
        <v>2.7755575615628914E-17</v>
      </c>
      <c r="CL34" s="6">
        <f t="shared" ca="1" si="483"/>
        <v>2.7755575615628914E-17</v>
      </c>
      <c r="CM34" s="6">
        <f t="shared" ca="1" si="483"/>
        <v>1.9428902930940239E-16</v>
      </c>
      <c r="CN34" s="6">
        <f t="shared" ca="1" si="483"/>
        <v>1.1102230246251565E-16</v>
      </c>
      <c r="CO34" s="6">
        <f t="shared" ca="1" si="483"/>
        <v>8.3266726846886741E-17</v>
      </c>
      <c r="CP34" s="6">
        <f t="shared" ca="1" si="483"/>
        <v>0</v>
      </c>
      <c r="CQ34" s="6">
        <f t="shared" ca="1" si="483"/>
        <v>2.7755575615628914E-17</v>
      </c>
      <c r="CR34" s="6">
        <f t="shared" ca="1" si="483"/>
        <v>5.5511151231257827E-17</v>
      </c>
      <c r="CS34" s="6">
        <f t="shared" ca="1" si="483"/>
        <v>2.7755575615628914E-17</v>
      </c>
      <c r="CT34" s="6">
        <f t="shared" ca="1" si="483"/>
        <v>5.5511151231257827E-17</v>
      </c>
      <c r="CU34" s="6">
        <f t="shared" ca="1" si="483"/>
        <v>5.5511151231257827E-17</v>
      </c>
      <c r="CV34" s="6">
        <f t="shared" ca="1" si="483"/>
        <v>2.7755575615628914E-17</v>
      </c>
      <c r="CW34" s="6">
        <f t="shared" ca="1" si="483"/>
        <v>5.5511151231257827E-17</v>
      </c>
      <c r="CX34" s="6">
        <f t="shared" ref="CX34:EP34" ca="1" si="484">ABS(CX23-CX28)</f>
        <v>8.3266726846886741E-17</v>
      </c>
      <c r="CY34" s="6">
        <f t="shared" ca="1" si="484"/>
        <v>8.3266726846886741E-17</v>
      </c>
      <c r="CZ34" s="6">
        <f t="shared" ca="1" si="484"/>
        <v>2.7755575615628914E-17</v>
      </c>
      <c r="DA34" s="6">
        <f t="shared" ca="1" si="484"/>
        <v>0</v>
      </c>
      <c r="DB34" s="6">
        <f t="shared" ca="1" si="484"/>
        <v>0</v>
      </c>
      <c r="DC34" s="6">
        <f t="shared" ca="1" si="484"/>
        <v>2.7755575615628914E-17</v>
      </c>
      <c r="DD34" s="6">
        <f t="shared" ca="1" si="484"/>
        <v>2.7755575615628914E-17</v>
      </c>
      <c r="DE34" s="6">
        <f t="shared" ca="1" si="484"/>
        <v>5.5511151231257827E-17</v>
      </c>
      <c r="DF34" s="6">
        <f t="shared" ca="1" si="484"/>
        <v>8.3266726846886741E-17</v>
      </c>
      <c r="DG34" s="6">
        <f t="shared" ca="1" si="484"/>
        <v>0</v>
      </c>
      <c r="DH34" s="6">
        <f t="shared" ca="1" si="484"/>
        <v>2.7755575615628914E-17</v>
      </c>
      <c r="DI34" s="6">
        <f t="shared" ca="1" si="484"/>
        <v>2.7755575615628914E-17</v>
      </c>
      <c r="DJ34" s="6">
        <f t="shared" ca="1" si="484"/>
        <v>5.5511151231257827E-17</v>
      </c>
      <c r="DK34" s="6">
        <f t="shared" ca="1" si="484"/>
        <v>2.7755575615628914E-17</v>
      </c>
      <c r="DL34" s="6">
        <f t="shared" ca="1" si="484"/>
        <v>0</v>
      </c>
      <c r="DM34" s="6">
        <f t="shared" ca="1" si="484"/>
        <v>5.5511151231257827E-17</v>
      </c>
      <c r="DN34" s="6">
        <f t="shared" ca="1" si="484"/>
        <v>1.6653345369377348E-16</v>
      </c>
      <c r="DO34" s="6">
        <f t="shared" ca="1" si="484"/>
        <v>5.5511151231257827E-17</v>
      </c>
      <c r="DP34" s="6">
        <f t="shared" ca="1" si="484"/>
        <v>8.3266726846886741E-17</v>
      </c>
      <c r="DQ34" s="6">
        <f t="shared" ca="1" si="484"/>
        <v>5.5511151231257827E-17</v>
      </c>
      <c r="DR34" s="6">
        <f t="shared" ca="1" si="484"/>
        <v>5.5511151231257827E-17</v>
      </c>
      <c r="DS34" s="6">
        <f t="shared" ca="1" si="484"/>
        <v>5.5511151231257827E-17</v>
      </c>
      <c r="DT34" s="6">
        <f t="shared" ca="1" si="484"/>
        <v>8.3266726846886741E-17</v>
      </c>
      <c r="DU34" s="6">
        <f t="shared" ca="1" si="484"/>
        <v>5.5511151231257827E-17</v>
      </c>
      <c r="DV34" s="6">
        <f t="shared" ca="1" si="484"/>
        <v>8.3266726846886741E-17</v>
      </c>
      <c r="DW34" s="6">
        <f t="shared" ca="1" si="484"/>
        <v>1.6653345369377348E-16</v>
      </c>
      <c r="DX34" s="6">
        <f t="shared" ca="1" si="484"/>
        <v>2.7755575615628914E-17</v>
      </c>
      <c r="DY34" s="6">
        <f t="shared" ca="1" si="484"/>
        <v>1.3877787807814457E-16</v>
      </c>
      <c r="DZ34" s="6">
        <f t="shared" ca="1" si="484"/>
        <v>0</v>
      </c>
      <c r="EA34" s="6">
        <f t="shared" ca="1" si="484"/>
        <v>8.3266726846886741E-17</v>
      </c>
      <c r="EB34" s="6">
        <f t="shared" ca="1" si="484"/>
        <v>2.7755575615628914E-17</v>
      </c>
      <c r="EC34" s="6">
        <f t="shared" ca="1" si="484"/>
        <v>1.1102230246251565E-16</v>
      </c>
      <c r="ED34" s="6">
        <f t="shared" ca="1" si="484"/>
        <v>2.7755575615628914E-17</v>
      </c>
      <c r="EE34" s="6">
        <f t="shared" ca="1" si="484"/>
        <v>2.7755575615628914E-17</v>
      </c>
      <c r="EF34" s="6">
        <f t="shared" ca="1" si="484"/>
        <v>1.1102230246251565E-16</v>
      </c>
      <c r="EG34" s="6">
        <f t="shared" ca="1" si="484"/>
        <v>0</v>
      </c>
      <c r="EH34" s="6">
        <f t="shared" ca="1" si="484"/>
        <v>2.4980018054066022E-16</v>
      </c>
      <c r="EI34" s="6">
        <f t="shared" ca="1" si="484"/>
        <v>1.3877787807814457E-16</v>
      </c>
      <c r="EJ34" s="6">
        <f t="shared" ca="1" si="484"/>
        <v>0</v>
      </c>
      <c r="EK34" s="6">
        <f t="shared" ca="1" si="484"/>
        <v>1.1102230246251565E-16</v>
      </c>
      <c r="EL34" s="6">
        <f t="shared" ca="1" si="484"/>
        <v>2.7755575615628914E-17</v>
      </c>
      <c r="EM34" s="6">
        <f t="shared" ca="1" si="484"/>
        <v>2.2204460492503131E-16</v>
      </c>
      <c r="EN34" s="6">
        <f t="shared" ca="1" si="484"/>
        <v>1.3877787807814457E-16</v>
      </c>
      <c r="EO34" s="6">
        <f t="shared" ca="1" si="484"/>
        <v>5.5511151231257827E-17</v>
      </c>
      <c r="EP34" s="6">
        <f t="shared" ca="1" si="484"/>
        <v>5.5511151231257827E-17</v>
      </c>
    </row>
    <row r="35" spans="1:146">
      <c r="A35" s="4">
        <f t="shared" si="482"/>
        <v>3</v>
      </c>
      <c r="B35" s="6">
        <f t="shared" ca="1" si="479"/>
        <v>7.029359900323412E-3</v>
      </c>
      <c r="C35" s="6">
        <f t="shared" ca="1" si="476"/>
        <v>6.529526897496131E-2</v>
      </c>
      <c r="D35" s="6">
        <f t="shared" ca="1" si="476"/>
        <v>3.0461003570836226E-2</v>
      </c>
      <c r="E35" s="6">
        <f t="shared" ca="1" si="476"/>
        <v>3.6304320426431592E-4</v>
      </c>
      <c r="F35" s="6">
        <f t="shared" ca="1" si="476"/>
        <v>2.9669352129439164E-3</v>
      </c>
      <c r="G35" s="6">
        <f t="shared" ca="1" si="476"/>
        <v>1.3648022638884233E-3</v>
      </c>
      <c r="H35" s="6">
        <f t="shared" ca="1" si="476"/>
        <v>2.0531305475004896E-3</v>
      </c>
      <c r="I35" s="6">
        <f t="shared" ca="1" si="476"/>
        <v>5.2283690753323481E-4</v>
      </c>
      <c r="J35" s="6">
        <f t="shared" ca="1" si="476"/>
        <v>2.3763648267179083E-4</v>
      </c>
      <c r="K35" s="6">
        <f t="shared" ca="1" si="476"/>
        <v>7.8230086716021829E-5</v>
      </c>
      <c r="L35" s="6">
        <f t="shared" ca="1" si="476"/>
        <v>1.2039362956427213E-4</v>
      </c>
      <c r="M35" s="6">
        <f t="shared" ca="1" si="476"/>
        <v>8.3317123501069901E-5</v>
      </c>
      <c r="N35" s="6">
        <f t="shared" ca="1" si="476"/>
        <v>2.5352554502422464E-6</v>
      </c>
      <c r="O35" s="6">
        <f t="shared" ca="1" si="476"/>
        <v>1.7903178419931276E-5</v>
      </c>
      <c r="P35" s="6">
        <f t="shared" ca="1" si="476"/>
        <v>1.9379526841056816E-6</v>
      </c>
      <c r="Q35" s="6">
        <f t="shared" ca="1" si="476"/>
        <v>9.001462572696961E-6</v>
      </c>
      <c r="R35" s="6">
        <f t="shared" ca="1" si="476"/>
        <v>2.7656749296972594E-6</v>
      </c>
      <c r="S35" s="6">
        <f t="shared" ca="1" si="476"/>
        <v>1.6501508163513368E-6</v>
      </c>
      <c r="T35" s="6">
        <f t="shared" ca="1" si="476"/>
        <v>8.8289318701806341E-7</v>
      </c>
      <c r="U35" s="6">
        <f t="shared" ca="1" si="476"/>
        <v>6.0637042834099653E-7</v>
      </c>
      <c r="V35" s="6">
        <f t="shared" ca="1" si="476"/>
        <v>5.7115181920086577E-7</v>
      </c>
      <c r="W35" s="6">
        <f t="shared" ca="1" si="476"/>
        <v>1.3700703987984397E-8</v>
      </c>
      <c r="X35" s="6">
        <f t="shared" ca="1" si="476"/>
        <v>1.6570820188244184E-7</v>
      </c>
      <c r="Y35" s="6">
        <f t="shared" ca="1" si="476"/>
        <v>1.0622747653732389E-8</v>
      </c>
      <c r="Z35" s="6">
        <f t="shared" ca="1" si="476"/>
        <v>6.9300734248378681E-8</v>
      </c>
      <c r="AA35" s="6">
        <f t="shared" ca="1" si="476"/>
        <v>2.6454403292963669E-8</v>
      </c>
      <c r="AB35" s="6">
        <f t="shared" ca="1" si="476"/>
        <v>1.5302140693451705E-8</v>
      </c>
      <c r="AC35" s="6">
        <f t="shared" ca="1" si="476"/>
        <v>1.1000424932072761E-8</v>
      </c>
      <c r="AD35" s="6">
        <f t="shared" ca="1" si="476"/>
        <v>4.332100775328307E-9</v>
      </c>
      <c r="AE35" s="6">
        <f t="shared" ca="1" si="476"/>
        <v>5.7589477631125874E-9</v>
      </c>
      <c r="AF35" s="6">
        <f t="shared" ca="1" si="476"/>
        <v>1.1309267411441226E-10</v>
      </c>
      <c r="AG35" s="6">
        <f t="shared" ca="1" si="476"/>
        <v>1.8992412781360102E-9</v>
      </c>
      <c r="AH35" s="6">
        <f t="shared" ca="1" si="476"/>
        <v>3.5383970753422034E-10</v>
      </c>
      <c r="AI35" s="6">
        <f t="shared" ca="1" si="476"/>
        <v>7.0703558285867274E-10</v>
      </c>
      <c r="AJ35" s="6">
        <f t="shared" ca="1" si="476"/>
        <v>3.4047173413931375E-10</v>
      </c>
      <c r="AK35" s="6">
        <f t="shared" ca="1" si="476"/>
        <v>1.6513682088437065E-10</v>
      </c>
      <c r="AL35" s="6">
        <f t="shared" ca="1" si="476"/>
        <v>1.5453428814371506E-10</v>
      </c>
      <c r="AM35" s="6">
        <f t="shared" ca="1" si="476"/>
        <v>3.5107708407089433E-11</v>
      </c>
      <c r="AN35" s="6">
        <f t="shared" ca="1" si="476"/>
        <v>7.2254799365900624E-11</v>
      </c>
      <c r="AO35" s="6">
        <f t="shared" ca="1" si="476"/>
        <v>6.1026461661839448E-12</v>
      </c>
      <c r="AP35" s="6">
        <f t="shared" ca="1" si="476"/>
        <v>2.4974411427791665E-11</v>
      </c>
      <c r="AQ35" s="6">
        <f t="shared" ca="1" si="476"/>
        <v>7.3503841901967348E-12</v>
      </c>
      <c r="AR35" s="6">
        <f t="shared" ca="1" si="476"/>
        <v>8.5174367558948916E-12</v>
      </c>
      <c r="AS35" s="6">
        <f t="shared" ca="1" si="476"/>
        <v>5.1889881280686723E-12</v>
      </c>
      <c r="AT35" s="6">
        <f t="shared" ca="1" si="476"/>
        <v>1.9319129629380427E-12</v>
      </c>
      <c r="AU35" s="6">
        <f t="shared" ca="1" si="476"/>
        <v>2.393002462852678E-12</v>
      </c>
      <c r="AV35" s="6">
        <f t="shared" ca="1" si="476"/>
        <v>2.5422719485135303E-13</v>
      </c>
      <c r="AW35" s="6">
        <f t="shared" ca="1" si="476"/>
        <v>1.0414030748862046E-12</v>
      </c>
      <c r="AX35" s="6">
        <f t="shared" ca="1" si="476"/>
        <v>1.6785184353551585E-13</v>
      </c>
      <c r="AY35" s="6">
        <f t="shared" ca="1" si="476"/>
        <v>3.6137759451548845E-13</v>
      </c>
      <c r="AZ35" s="6">
        <f t="shared" ref="AZ35:CW35" ca="1" si="485">ABS(AZ24-AZ29)</f>
        <v>1.4580003870889868E-13</v>
      </c>
      <c r="BA35" s="6">
        <f t="shared" ca="1" si="485"/>
        <v>1.136590821460004E-13</v>
      </c>
      <c r="BB35" s="6">
        <f t="shared" ca="1" si="485"/>
        <v>8.7985174701543656E-14</v>
      </c>
      <c r="BC35" s="6">
        <f t="shared" ca="1" si="485"/>
        <v>2.3009372185356369E-14</v>
      </c>
      <c r="BD35" s="6">
        <f t="shared" ca="1" si="485"/>
        <v>3.998190667431345E-14</v>
      </c>
      <c r="BE35" s="6">
        <f t="shared" ca="1" si="485"/>
        <v>2.7755575615628914E-16</v>
      </c>
      <c r="BF35" s="6">
        <f t="shared" ca="1" si="485"/>
        <v>1.6514567491299204E-14</v>
      </c>
      <c r="BG35" s="6">
        <f t="shared" ca="1" si="485"/>
        <v>4.0384362520740069E-15</v>
      </c>
      <c r="BH35" s="6">
        <f t="shared" ca="1" si="485"/>
        <v>5.6482596377804839E-15</v>
      </c>
      <c r="BI35" s="6">
        <f t="shared" ca="1" si="485"/>
        <v>2.9559688030644793E-15</v>
      </c>
      <c r="BJ35" s="6">
        <f t="shared" ca="1" si="485"/>
        <v>1.5820678100908481E-15</v>
      </c>
      <c r="BK35" s="6">
        <f t="shared" ca="1" si="485"/>
        <v>1.5265566588595902E-15</v>
      </c>
      <c r="BL35" s="6">
        <f t="shared" ca="1" si="485"/>
        <v>2.2204460492503131E-16</v>
      </c>
      <c r="BM35" s="6">
        <f t="shared" ca="1" si="485"/>
        <v>6.9388939039072284E-16</v>
      </c>
      <c r="BN35" s="6">
        <f t="shared" ca="1" si="485"/>
        <v>8.3266726846886741E-17</v>
      </c>
      <c r="BO35" s="6">
        <f t="shared" ca="1" si="485"/>
        <v>2.7755575615628914E-16</v>
      </c>
      <c r="BP35" s="6">
        <f t="shared" ca="1" si="485"/>
        <v>8.3266726846886741E-17</v>
      </c>
      <c r="BQ35" s="6">
        <f t="shared" ca="1" si="485"/>
        <v>8.3266726846886741E-17</v>
      </c>
      <c r="BR35" s="6">
        <f t="shared" ca="1" si="485"/>
        <v>8.3266726846886741E-17</v>
      </c>
      <c r="BS35" s="6">
        <f t="shared" ca="1" si="485"/>
        <v>2.7755575615628914E-17</v>
      </c>
      <c r="BT35" s="6">
        <f t="shared" ca="1" si="485"/>
        <v>4.163336342344337E-17</v>
      </c>
      <c r="BU35" s="6">
        <f t="shared" ca="1" si="485"/>
        <v>1.2490009027033011E-16</v>
      </c>
      <c r="BV35" s="6">
        <f t="shared" ca="1" si="485"/>
        <v>1.1102230246251565E-16</v>
      </c>
      <c r="BW35" s="6">
        <f t="shared" ca="1" si="485"/>
        <v>2.7755575615628914E-17</v>
      </c>
      <c r="BX35" s="6">
        <f t="shared" ca="1" si="485"/>
        <v>6.9388939039072284E-17</v>
      </c>
      <c r="BY35" s="6">
        <f t="shared" ca="1" si="485"/>
        <v>1.3877787807814457E-17</v>
      </c>
      <c r="BZ35" s="6">
        <f t="shared" ca="1" si="485"/>
        <v>1.3877787807814457E-17</v>
      </c>
      <c r="CA35" s="6">
        <f t="shared" ca="1" si="485"/>
        <v>1.3877787807814457E-17</v>
      </c>
      <c r="CB35" s="6">
        <f t="shared" ca="1" si="485"/>
        <v>1.3877787807814457E-17</v>
      </c>
      <c r="CC35" s="6">
        <f t="shared" ca="1" si="485"/>
        <v>1.3877787807814457E-17</v>
      </c>
      <c r="CD35" s="6">
        <f t="shared" ca="1" si="485"/>
        <v>1.3877787807814457E-17</v>
      </c>
      <c r="CE35" s="6">
        <f t="shared" ca="1" si="485"/>
        <v>1.3877787807814457E-17</v>
      </c>
      <c r="CF35" s="6">
        <f t="shared" ca="1" si="485"/>
        <v>1.3877787807814457E-17</v>
      </c>
      <c r="CG35" s="6">
        <f t="shared" ca="1" si="485"/>
        <v>6.9388939039072284E-17</v>
      </c>
      <c r="CH35" s="6">
        <f t="shared" ca="1" si="485"/>
        <v>1.3877787807814457E-17</v>
      </c>
      <c r="CI35" s="6">
        <f t="shared" ca="1" si="485"/>
        <v>2.7755575615628914E-17</v>
      </c>
      <c r="CJ35" s="6">
        <f t="shared" ca="1" si="485"/>
        <v>1.3877787807814457E-17</v>
      </c>
      <c r="CK35" s="6">
        <f t="shared" ca="1" si="485"/>
        <v>0</v>
      </c>
      <c r="CL35" s="6">
        <f t="shared" ca="1" si="485"/>
        <v>1.3877787807814457E-17</v>
      </c>
      <c r="CM35" s="6">
        <f t="shared" ca="1" si="485"/>
        <v>1.3877787807814457E-17</v>
      </c>
      <c r="CN35" s="6">
        <f t="shared" ca="1" si="485"/>
        <v>9.7144514654701197E-17</v>
      </c>
      <c r="CO35" s="6">
        <f t="shared" ca="1" si="485"/>
        <v>4.163336342344337E-17</v>
      </c>
      <c r="CP35" s="6">
        <f t="shared" ca="1" si="485"/>
        <v>2.7755575615628914E-17</v>
      </c>
      <c r="CQ35" s="6">
        <f t="shared" ca="1" si="485"/>
        <v>0</v>
      </c>
      <c r="CR35" s="6">
        <f t="shared" ca="1" si="485"/>
        <v>2.7755575615628914E-17</v>
      </c>
      <c r="CS35" s="6">
        <f t="shared" ca="1" si="485"/>
        <v>4.163336342344337E-17</v>
      </c>
      <c r="CT35" s="6">
        <f t="shared" ca="1" si="485"/>
        <v>1.3877787807814457E-17</v>
      </c>
      <c r="CU35" s="6">
        <f t="shared" ca="1" si="485"/>
        <v>0</v>
      </c>
      <c r="CV35" s="6">
        <f t="shared" ca="1" si="485"/>
        <v>1.3877787807814457E-17</v>
      </c>
      <c r="CW35" s="6">
        <f t="shared" ca="1" si="485"/>
        <v>0</v>
      </c>
      <c r="CX35" s="6">
        <f t="shared" ref="CX35:EP35" ca="1" si="486">ABS(CX24-CX29)</f>
        <v>1.3877787807814457E-17</v>
      </c>
      <c r="CY35" s="6">
        <f t="shared" ca="1" si="486"/>
        <v>4.163336342344337E-17</v>
      </c>
      <c r="CZ35" s="6">
        <f t="shared" ca="1" si="486"/>
        <v>4.163336342344337E-17</v>
      </c>
      <c r="DA35" s="6">
        <f t="shared" ca="1" si="486"/>
        <v>1.3877787807814457E-17</v>
      </c>
      <c r="DB35" s="6">
        <f t="shared" ca="1" si="486"/>
        <v>0</v>
      </c>
      <c r="DC35" s="6">
        <f t="shared" ca="1" si="486"/>
        <v>0</v>
      </c>
      <c r="DD35" s="6">
        <f t="shared" ca="1" si="486"/>
        <v>0</v>
      </c>
      <c r="DE35" s="6">
        <f t="shared" ca="1" si="486"/>
        <v>0</v>
      </c>
      <c r="DF35" s="6">
        <f t="shared" ca="1" si="486"/>
        <v>1.3877787807814457E-17</v>
      </c>
      <c r="DG35" s="6">
        <f t="shared" ca="1" si="486"/>
        <v>4.163336342344337E-17</v>
      </c>
      <c r="DH35" s="6">
        <f t="shared" ca="1" si="486"/>
        <v>1.3877787807814457E-17</v>
      </c>
      <c r="DI35" s="6">
        <f t="shared" ca="1" si="486"/>
        <v>0</v>
      </c>
      <c r="DJ35" s="6">
        <f t="shared" ca="1" si="486"/>
        <v>1.3877787807814457E-17</v>
      </c>
      <c r="DK35" s="6">
        <f t="shared" ca="1" si="486"/>
        <v>4.163336342344337E-17</v>
      </c>
      <c r="DL35" s="6">
        <f t="shared" ca="1" si="486"/>
        <v>1.3877787807814457E-17</v>
      </c>
      <c r="DM35" s="6">
        <f t="shared" ca="1" si="486"/>
        <v>1.3877787807814457E-17</v>
      </c>
      <c r="DN35" s="6">
        <f t="shared" ca="1" si="486"/>
        <v>1.3877787807814457E-17</v>
      </c>
      <c r="DO35" s="6">
        <f t="shared" ca="1" si="486"/>
        <v>6.9388939039072284E-17</v>
      </c>
      <c r="DP35" s="6">
        <f t="shared" ca="1" si="486"/>
        <v>4.163336342344337E-17</v>
      </c>
      <c r="DQ35" s="6">
        <f t="shared" ca="1" si="486"/>
        <v>4.163336342344337E-17</v>
      </c>
      <c r="DR35" s="6">
        <f t="shared" ca="1" si="486"/>
        <v>1.3877787807814457E-17</v>
      </c>
      <c r="DS35" s="6">
        <f t="shared" ca="1" si="486"/>
        <v>2.7755575615628914E-17</v>
      </c>
      <c r="DT35" s="6">
        <f t="shared" ca="1" si="486"/>
        <v>4.163336342344337E-17</v>
      </c>
      <c r="DU35" s="6">
        <f t="shared" ca="1" si="486"/>
        <v>4.163336342344337E-17</v>
      </c>
      <c r="DV35" s="6">
        <f t="shared" ca="1" si="486"/>
        <v>2.7755575615628914E-17</v>
      </c>
      <c r="DW35" s="6">
        <f t="shared" ca="1" si="486"/>
        <v>1.3877787807814457E-17</v>
      </c>
      <c r="DX35" s="6">
        <f t="shared" ca="1" si="486"/>
        <v>6.9388939039072284E-17</v>
      </c>
      <c r="DY35" s="6">
        <f t="shared" ca="1" si="486"/>
        <v>2.7755575615628914E-17</v>
      </c>
      <c r="DZ35" s="6">
        <f t="shared" ca="1" si="486"/>
        <v>6.9388939039072284E-17</v>
      </c>
      <c r="EA35" s="6">
        <f t="shared" ca="1" si="486"/>
        <v>1.3877787807814457E-17</v>
      </c>
      <c r="EB35" s="6">
        <f t="shared" ca="1" si="486"/>
        <v>2.7755575615628914E-17</v>
      </c>
      <c r="EC35" s="6">
        <f t="shared" ca="1" si="486"/>
        <v>1.3877787807814457E-17</v>
      </c>
      <c r="ED35" s="6">
        <f t="shared" ca="1" si="486"/>
        <v>5.5511151231257827E-17</v>
      </c>
      <c r="EE35" s="6">
        <f t="shared" ca="1" si="486"/>
        <v>0</v>
      </c>
      <c r="EF35" s="6">
        <f t="shared" ca="1" si="486"/>
        <v>4.163336342344337E-17</v>
      </c>
      <c r="EG35" s="6">
        <f t="shared" ca="1" si="486"/>
        <v>4.163336342344337E-17</v>
      </c>
      <c r="EH35" s="6">
        <f t="shared" ca="1" si="486"/>
        <v>2.7755575615628914E-17</v>
      </c>
      <c r="EI35" s="6">
        <f t="shared" ca="1" si="486"/>
        <v>1.1102230246251565E-16</v>
      </c>
      <c r="EJ35" s="6">
        <f t="shared" ca="1" si="486"/>
        <v>6.9388939039072284E-17</v>
      </c>
      <c r="EK35" s="6">
        <f t="shared" ca="1" si="486"/>
        <v>0</v>
      </c>
      <c r="EL35" s="6">
        <f t="shared" ca="1" si="486"/>
        <v>4.163336342344337E-17</v>
      </c>
      <c r="EM35" s="6">
        <f t="shared" ca="1" si="486"/>
        <v>1.3877787807814457E-17</v>
      </c>
      <c r="EN35" s="6">
        <f t="shared" ca="1" si="486"/>
        <v>9.7144514654701197E-17</v>
      </c>
      <c r="EO35" s="6">
        <f t="shared" ca="1" si="486"/>
        <v>8.3266726846886741E-17</v>
      </c>
      <c r="EP35" s="6">
        <f t="shared" ca="1" si="486"/>
        <v>1.3877787807814457E-17</v>
      </c>
    </row>
    <row r="36" spans="1:146">
      <c r="CZ36" s="18"/>
      <c r="DA36" s="18"/>
      <c r="DB36" s="18"/>
      <c r="DC36" s="18"/>
      <c r="DF36" s="18"/>
      <c r="DG36" s="18"/>
      <c r="DH36" s="18"/>
      <c r="DI36" s="18"/>
    </row>
    <row r="37" spans="1:146">
      <c r="CZ37" s="18"/>
      <c r="DA37" s="18"/>
      <c r="DB37" s="18"/>
      <c r="DC37" s="18"/>
      <c r="DF37" s="18"/>
      <c r="DG37" s="18"/>
      <c r="DH37" s="18"/>
      <c r="DI37" s="18"/>
    </row>
    <row r="38" spans="1:146">
      <c r="CZ38" s="18"/>
      <c r="DA38" s="18"/>
      <c r="DB38" s="18"/>
      <c r="DC38" s="18"/>
      <c r="DF38" s="18"/>
      <c r="DG38" s="18"/>
      <c r="DH38" s="18"/>
      <c r="DI38" s="18"/>
    </row>
    <row r="39" spans="1:146">
      <c r="CZ39" s="18"/>
      <c r="DA39" s="18"/>
      <c r="DB39" s="18"/>
      <c r="DC39" s="18"/>
      <c r="DF39" s="18"/>
      <c r="DG39" s="18"/>
      <c r="DH39" s="18"/>
      <c r="DI39" s="18"/>
    </row>
    <row r="40" spans="1:146">
      <c r="CZ40" s="18"/>
      <c r="DA40" s="18"/>
      <c r="DB40" s="18"/>
      <c r="DC40" s="18"/>
      <c r="DF40" s="18"/>
      <c r="DG40" s="18"/>
      <c r="DH40" s="18"/>
      <c r="DI40" s="18"/>
    </row>
    <row r="41" spans="1:146">
      <c r="CZ41" s="18"/>
      <c r="DA41" s="18"/>
      <c r="DB41" s="18"/>
      <c r="DC41" s="18"/>
      <c r="DF41" s="18"/>
      <c r="DG41" s="18"/>
      <c r="DH41" s="18"/>
      <c r="DI41" s="18"/>
    </row>
    <row r="42" spans="1:146">
      <c r="CZ42" s="18"/>
      <c r="DA42" s="18"/>
      <c r="DB42" s="18"/>
      <c r="DC42" s="18"/>
      <c r="DF42" s="18"/>
      <c r="DG42" s="18"/>
      <c r="DH42" s="18"/>
      <c r="DI42" s="18"/>
    </row>
    <row r="43" spans="1:146">
      <c r="CZ43" s="18"/>
      <c r="DA43" s="18"/>
      <c r="DB43" s="18"/>
      <c r="DC43" s="18"/>
      <c r="DF43" s="18"/>
      <c r="DG43" s="18"/>
      <c r="DH43" s="18"/>
      <c r="DI43" s="18"/>
    </row>
    <row r="44" spans="1:146">
      <c r="CZ44" s="18"/>
      <c r="DA44" s="18"/>
      <c r="DB44" s="18"/>
      <c r="DC44" s="18"/>
      <c r="DF44" s="18"/>
      <c r="DG44" s="18"/>
      <c r="DH44" s="18"/>
      <c r="DI44" s="18"/>
    </row>
    <row r="45" spans="1:146">
      <c r="CZ45" s="18"/>
      <c r="DA45" s="18"/>
      <c r="DB45" s="18"/>
      <c r="DC45" s="18"/>
      <c r="DF45" s="18"/>
      <c r="DG45" s="18"/>
      <c r="DH45" s="18"/>
      <c r="DI45" s="18"/>
    </row>
    <row r="46" spans="1:146">
      <c r="CZ46" s="18"/>
      <c r="DA46" s="18"/>
      <c r="DB46" s="18"/>
      <c r="DC46" s="18"/>
      <c r="DF46" s="18"/>
      <c r="DG46" s="18"/>
      <c r="DH46" s="18"/>
      <c r="DI46" s="18"/>
    </row>
    <row r="47" spans="1:146">
      <c r="CZ47" s="18"/>
      <c r="DA47" s="18"/>
      <c r="DB47" s="18"/>
      <c r="DC47" s="18"/>
      <c r="DF47" s="18"/>
      <c r="DG47" s="18"/>
      <c r="DH47" s="18"/>
      <c r="DI47" s="18"/>
    </row>
    <row r="48" spans="1:146">
      <c r="CZ48" s="18"/>
      <c r="DA48" s="18"/>
      <c r="DB48" s="18"/>
      <c r="DC48" s="18"/>
      <c r="DF48" s="18"/>
      <c r="DG48" s="18"/>
      <c r="DH48" s="18"/>
      <c r="DI48" s="18"/>
    </row>
    <row r="49" spans="104:113">
      <c r="CZ49" s="18"/>
      <c r="DA49" s="18"/>
      <c r="DB49" s="18"/>
      <c r="DC49" s="18"/>
      <c r="DF49" s="18"/>
      <c r="DG49" s="18"/>
      <c r="DH49" s="18"/>
      <c r="DI49" s="18"/>
    </row>
    <row r="50" spans="104:113">
      <c r="CZ50" s="18"/>
      <c r="DA50" s="18"/>
      <c r="DB50" s="18"/>
      <c r="DC50" s="18"/>
      <c r="DF50" s="18"/>
      <c r="DG50" s="18"/>
      <c r="DH50" s="18"/>
      <c r="DI50" s="18"/>
    </row>
    <row r="51" spans="104:113">
      <c r="CZ51" s="18"/>
      <c r="DA51" s="18"/>
      <c r="DB51" s="18"/>
      <c r="DC51" s="18"/>
      <c r="DF51" s="18"/>
      <c r="DG51" s="18"/>
      <c r="DH51" s="18"/>
      <c r="DI51" s="18"/>
    </row>
    <row r="52" spans="104:113">
      <c r="CZ52" s="18"/>
      <c r="DA52" s="18"/>
      <c r="DB52" s="18"/>
      <c r="DC52" s="18"/>
      <c r="DF52" s="18"/>
      <c r="DG52" s="18"/>
      <c r="DH52" s="18"/>
      <c r="DI52" s="18"/>
    </row>
    <row r="53" spans="104:113">
      <c r="CZ53" s="18"/>
      <c r="DA53" s="18"/>
      <c r="DB53" s="18"/>
      <c r="DC53" s="18"/>
      <c r="DF53" s="18"/>
      <c r="DG53" s="18"/>
      <c r="DH53" s="18"/>
      <c r="DI53" s="18"/>
    </row>
    <row r="54" spans="104:113">
      <c r="CZ54" s="18"/>
      <c r="DA54" s="18"/>
      <c r="DB54" s="18"/>
      <c r="DC54" s="18"/>
      <c r="DF54" s="18"/>
      <c r="DG54" s="18"/>
      <c r="DH54" s="18"/>
      <c r="DI54" s="18"/>
    </row>
    <row r="55" spans="104:113">
      <c r="CZ55" s="18"/>
      <c r="DA55" s="18"/>
      <c r="DB55" s="18"/>
      <c r="DC55" s="18"/>
      <c r="DF55" s="18"/>
      <c r="DG55" s="18"/>
      <c r="DH55" s="18"/>
      <c r="DI55" s="18"/>
    </row>
    <row r="56" spans="104:113">
      <c r="CZ56" s="18"/>
      <c r="DA56" s="18"/>
      <c r="DB56" s="18"/>
      <c r="DC56" s="18"/>
      <c r="DF56" s="18"/>
      <c r="DG56" s="18"/>
      <c r="DH56" s="18"/>
      <c r="DI56" s="18"/>
    </row>
    <row r="57" spans="104:113">
      <c r="CZ57" s="18"/>
      <c r="DA57" s="18"/>
      <c r="DB57" s="18"/>
      <c r="DC57" s="18"/>
      <c r="DF57" s="18"/>
      <c r="DG57" s="18"/>
      <c r="DH57" s="18"/>
      <c r="DI57" s="18"/>
    </row>
    <row r="58" spans="104:113">
      <c r="CZ58" s="18"/>
      <c r="DA58" s="18"/>
      <c r="DB58" s="18"/>
      <c r="DC58" s="18"/>
      <c r="DF58" s="18"/>
      <c r="DG58" s="18"/>
      <c r="DH58" s="18"/>
      <c r="DI58" s="18"/>
    </row>
    <row r="59" spans="104:113">
      <c r="CZ59" s="18"/>
      <c r="DA59" s="18"/>
      <c r="DB59" s="18"/>
      <c r="DC59" s="18"/>
      <c r="DF59" s="18"/>
      <c r="DG59" s="18"/>
      <c r="DH59" s="18"/>
      <c r="DI59" s="18"/>
    </row>
    <row r="60" spans="104:113">
      <c r="CZ60" s="18"/>
      <c r="DA60" s="18"/>
      <c r="DB60" s="18"/>
      <c r="DC60" s="18"/>
      <c r="DF60" s="18"/>
      <c r="DG60" s="18"/>
      <c r="DH60" s="18"/>
      <c r="DI60" s="18"/>
    </row>
    <row r="61" spans="104:113">
      <c r="CZ61" s="18"/>
      <c r="DA61" s="18"/>
      <c r="DB61" s="18"/>
      <c r="DC61" s="18"/>
      <c r="DF61" s="18"/>
      <c r="DG61" s="18"/>
      <c r="DH61" s="18"/>
      <c r="DI61" s="18"/>
    </row>
    <row r="62" spans="104:113">
      <c r="CZ62" s="18"/>
      <c r="DA62" s="18"/>
      <c r="DB62" s="18"/>
      <c r="DC62" s="18"/>
      <c r="DF62" s="18"/>
      <c r="DG62" s="18"/>
      <c r="DH62" s="18"/>
      <c r="DI62" s="18"/>
    </row>
    <row r="63" spans="104:113">
      <c r="CZ63" s="18"/>
      <c r="DA63" s="18"/>
      <c r="DB63" s="18"/>
      <c r="DC63" s="18"/>
      <c r="DF63" s="18"/>
      <c r="DG63" s="18"/>
      <c r="DH63" s="18"/>
      <c r="DI63" s="18"/>
    </row>
    <row r="64" spans="104:113">
      <c r="CZ64" s="18"/>
      <c r="DA64" s="18"/>
      <c r="DB64" s="18"/>
      <c r="DC64" s="18"/>
      <c r="DF64" s="18"/>
      <c r="DG64" s="18"/>
      <c r="DH64" s="18"/>
      <c r="DI64" s="18"/>
    </row>
    <row r="65" spans="104:113">
      <c r="CZ65" s="18"/>
      <c r="DA65" s="18"/>
      <c r="DB65" s="18"/>
      <c r="DC65" s="18"/>
      <c r="DF65" s="18"/>
      <c r="DG65" s="18"/>
      <c r="DH65" s="18"/>
      <c r="DI65" s="18"/>
    </row>
    <row r="66" spans="104:113">
      <c r="CZ66" s="18"/>
      <c r="DA66" s="18"/>
      <c r="DB66" s="18"/>
      <c r="DC66" s="18"/>
      <c r="DF66" s="18"/>
      <c r="DG66" s="18"/>
      <c r="DH66" s="18"/>
      <c r="DI66" s="18"/>
    </row>
    <row r="67" spans="104:113">
      <c r="CZ67" s="18"/>
      <c r="DA67" s="18"/>
      <c r="DB67" s="18"/>
      <c r="DC67" s="18"/>
      <c r="DF67" s="18"/>
      <c r="DG67" s="18"/>
      <c r="DH67" s="18"/>
      <c r="DI67" s="18"/>
    </row>
    <row r="68" spans="104:113">
      <c r="CZ68" s="18"/>
      <c r="DA68" s="18"/>
      <c r="DB68" s="18"/>
      <c r="DC68" s="18"/>
      <c r="DF68" s="18"/>
      <c r="DG68" s="18"/>
      <c r="DH68" s="18"/>
      <c r="DI68" s="18"/>
    </row>
    <row r="69" spans="104:113">
      <c r="CZ69" s="18"/>
      <c r="DA69" s="18"/>
      <c r="DB69" s="18"/>
      <c r="DC69" s="18"/>
      <c r="DF69" s="18"/>
      <c r="DG69" s="18"/>
      <c r="DH69" s="18"/>
      <c r="DI69" s="18"/>
    </row>
    <row r="70" spans="104:113">
      <c r="CZ70" s="18"/>
      <c r="DA70" s="18"/>
      <c r="DB70" s="18"/>
      <c r="DC70" s="18"/>
      <c r="DF70" s="18"/>
      <c r="DG70" s="18"/>
      <c r="DH70" s="18"/>
      <c r="DI70" s="18"/>
    </row>
    <row r="71" spans="104:113">
      <c r="CZ71" s="18"/>
      <c r="DA71" s="18"/>
      <c r="DB71" s="18"/>
      <c r="DC71" s="18"/>
      <c r="DF71" s="18"/>
      <c r="DG71" s="18"/>
      <c r="DH71" s="18"/>
      <c r="DI71" s="18"/>
    </row>
    <row r="72" spans="104:113">
      <c r="CZ72" s="18"/>
      <c r="DA72" s="18"/>
      <c r="DB72" s="18"/>
      <c r="DC72" s="18"/>
      <c r="DF72" s="18"/>
      <c r="DG72" s="18"/>
      <c r="DH72" s="18"/>
      <c r="DI72" s="18"/>
    </row>
    <row r="73" spans="104:113">
      <c r="CZ73" s="18"/>
      <c r="DA73" s="18"/>
      <c r="DB73" s="18"/>
      <c r="DC73" s="18"/>
      <c r="DF73" s="18"/>
      <c r="DG73" s="18"/>
      <c r="DH73" s="18"/>
      <c r="DI73" s="18"/>
    </row>
    <row r="74" spans="104:113">
      <c r="CZ74" s="18"/>
      <c r="DA74" s="18"/>
      <c r="DB74" s="18"/>
      <c r="DC74" s="18"/>
      <c r="DF74" s="18"/>
      <c r="DG74" s="18"/>
      <c r="DH74" s="18"/>
      <c r="DI74" s="18"/>
    </row>
    <row r="75" spans="104:113">
      <c r="CZ75" s="18"/>
      <c r="DA75" s="18"/>
      <c r="DB75" s="18"/>
      <c r="DC75" s="18"/>
      <c r="DF75" s="18"/>
      <c r="DG75" s="18"/>
      <c r="DH75" s="18"/>
      <c r="DI75" s="18"/>
    </row>
    <row r="76" spans="104:113">
      <c r="CZ76" s="18"/>
      <c r="DA76" s="18"/>
      <c r="DB76" s="18"/>
      <c r="DC76" s="18"/>
      <c r="DF76" s="18"/>
      <c r="DG76" s="18"/>
      <c r="DH76" s="18"/>
      <c r="DI76" s="18"/>
    </row>
    <row r="77" spans="104:113">
      <c r="CZ77" s="18"/>
      <c r="DA77" s="18"/>
      <c r="DB77" s="18"/>
      <c r="DC77" s="18"/>
      <c r="DF77" s="18"/>
      <c r="DG77" s="18"/>
      <c r="DH77" s="18"/>
      <c r="DI77" s="18"/>
    </row>
    <row r="78" spans="104:113">
      <c r="CZ78" s="18"/>
      <c r="DA78" s="18"/>
      <c r="DB78" s="18"/>
      <c r="DC78" s="18"/>
      <c r="DF78" s="18"/>
      <c r="DG78" s="18"/>
      <c r="DH78" s="18"/>
      <c r="DI78" s="18"/>
    </row>
    <row r="79" spans="104:113">
      <c r="CZ79" s="18"/>
      <c r="DA79" s="18"/>
      <c r="DB79" s="18"/>
      <c r="DC79" s="18"/>
      <c r="DF79" s="18"/>
      <c r="DG79" s="18"/>
      <c r="DH79" s="18"/>
      <c r="DI79" s="18"/>
    </row>
    <row r="80" spans="104:113">
      <c r="CZ80" s="18"/>
      <c r="DA80" s="18"/>
      <c r="DB80" s="18"/>
      <c r="DC80" s="18"/>
      <c r="DF80" s="18"/>
      <c r="DG80" s="18"/>
      <c r="DH80" s="18"/>
      <c r="DI80" s="18"/>
    </row>
    <row r="81" spans="104:113">
      <c r="CZ81" s="18"/>
      <c r="DA81" s="18"/>
      <c r="DB81" s="18"/>
      <c r="DC81" s="18"/>
      <c r="DF81" s="18"/>
      <c r="DG81" s="18"/>
      <c r="DH81" s="18"/>
      <c r="DI81" s="18"/>
    </row>
    <row r="82" spans="104:113">
      <c r="CZ82" s="18"/>
      <c r="DA82" s="18"/>
      <c r="DB82" s="18"/>
      <c r="DC82" s="18"/>
      <c r="DF82" s="18"/>
      <c r="DG82" s="18"/>
      <c r="DH82" s="18"/>
      <c r="DI82" s="18"/>
    </row>
    <row r="83" spans="104:113">
      <c r="CZ83" s="18"/>
      <c r="DA83" s="18"/>
      <c r="DB83" s="18"/>
      <c r="DC83" s="18"/>
      <c r="DF83" s="18"/>
      <c r="DG83" s="18"/>
      <c r="DH83" s="18"/>
      <c r="DI83" s="18"/>
    </row>
    <row r="84" spans="104:113">
      <c r="CZ84" s="18"/>
      <c r="DA84" s="18"/>
      <c r="DB84" s="18"/>
      <c r="DC84" s="18"/>
      <c r="DF84" s="18"/>
      <c r="DG84" s="18"/>
      <c r="DH84" s="18"/>
      <c r="DI84" s="18"/>
    </row>
    <row r="85" spans="104:113">
      <c r="CZ85" s="18"/>
      <c r="DA85" s="18"/>
      <c r="DB85" s="18"/>
      <c r="DC85" s="18"/>
      <c r="DF85" s="18"/>
      <c r="DG85" s="18"/>
      <c r="DH85" s="18"/>
      <c r="DI85" s="18"/>
    </row>
    <row r="86" spans="104:113">
      <c r="CZ86" s="18"/>
      <c r="DA86" s="18"/>
      <c r="DB86" s="18"/>
      <c r="DC86" s="18"/>
      <c r="DF86" s="18"/>
      <c r="DG86" s="18"/>
      <c r="DH86" s="18"/>
      <c r="DI86" s="18"/>
    </row>
    <row r="87" spans="104:113">
      <c r="CZ87" s="18"/>
      <c r="DA87" s="18"/>
      <c r="DB87" s="18"/>
      <c r="DC87" s="18"/>
      <c r="DF87" s="18"/>
      <c r="DG87" s="18"/>
      <c r="DH87" s="18"/>
      <c r="DI87" s="18"/>
    </row>
    <row r="88" spans="104:113">
      <c r="CZ88" s="18"/>
      <c r="DA88" s="18"/>
      <c r="DB88" s="18"/>
      <c r="DC88" s="18"/>
      <c r="DF88" s="18"/>
      <c r="DG88" s="18"/>
      <c r="DH88" s="18"/>
      <c r="DI88" s="18"/>
    </row>
    <row r="89" spans="104:113">
      <c r="CZ89" s="18"/>
      <c r="DA89" s="18"/>
      <c r="DB89" s="18"/>
      <c r="DC89" s="18"/>
      <c r="DF89" s="18"/>
      <c r="DG89" s="18"/>
      <c r="DH89" s="18"/>
      <c r="DI89" s="18"/>
    </row>
    <row r="90" spans="104:113">
      <c r="CZ90" s="18"/>
      <c r="DA90" s="18"/>
      <c r="DB90" s="18"/>
      <c r="DC90" s="18"/>
      <c r="DF90" s="18"/>
      <c r="DG90" s="18"/>
      <c r="DH90" s="18"/>
      <c r="DI90" s="18"/>
    </row>
    <row r="91" spans="104:113">
      <c r="CZ91" s="18"/>
      <c r="DA91" s="18"/>
      <c r="DB91" s="18"/>
      <c r="DC91" s="18"/>
      <c r="DF91" s="18"/>
      <c r="DG91" s="18"/>
      <c r="DH91" s="18"/>
      <c r="DI91" s="18"/>
    </row>
    <row r="92" spans="104:113">
      <c r="CZ92" s="18"/>
      <c r="DA92" s="18"/>
      <c r="DB92" s="18"/>
      <c r="DC92" s="18"/>
      <c r="DF92" s="18"/>
      <c r="DG92" s="18"/>
      <c r="DH92" s="18"/>
      <c r="DI92" s="18"/>
    </row>
    <row r="93" spans="104:113">
      <c r="CZ93" s="18"/>
      <c r="DA93" s="18"/>
      <c r="DB93" s="18"/>
      <c r="DC93" s="18"/>
      <c r="DF93" s="18"/>
      <c r="DG93" s="18"/>
      <c r="DH93" s="18"/>
      <c r="DI93" s="18"/>
    </row>
    <row r="94" spans="104:113">
      <c r="CZ94" s="18"/>
      <c r="DA94" s="18"/>
      <c r="DB94" s="18"/>
      <c r="DC94" s="18"/>
      <c r="DF94" s="18"/>
      <c r="DG94" s="18"/>
      <c r="DH94" s="18"/>
      <c r="DI94" s="18"/>
    </row>
    <row r="95" spans="104:113">
      <c r="CZ95" s="18"/>
      <c r="DA95" s="18"/>
      <c r="DB95" s="18"/>
      <c r="DC95" s="18"/>
      <c r="DF95" s="18"/>
      <c r="DG95" s="18"/>
      <c r="DH95" s="18"/>
      <c r="DI95" s="18"/>
    </row>
    <row r="96" spans="104:113">
      <c r="CZ96" s="18"/>
      <c r="DA96" s="18"/>
      <c r="DB96" s="18"/>
      <c r="DC96" s="18"/>
      <c r="DF96" s="18"/>
      <c r="DG96" s="18"/>
      <c r="DH96" s="18"/>
      <c r="DI96" s="18"/>
    </row>
    <row r="97" spans="104:113">
      <c r="CZ97" s="18"/>
      <c r="DA97" s="18"/>
      <c r="DB97" s="18"/>
      <c r="DC97" s="18"/>
      <c r="DF97" s="18"/>
      <c r="DG97" s="18"/>
      <c r="DH97" s="18"/>
      <c r="DI97" s="18"/>
    </row>
    <row r="98" spans="104:113">
      <c r="CZ98" s="18"/>
      <c r="DA98" s="18"/>
      <c r="DB98" s="18"/>
      <c r="DC98" s="18"/>
      <c r="DF98" s="18"/>
      <c r="DG98" s="18"/>
      <c r="DH98" s="18"/>
      <c r="DI98" s="18"/>
    </row>
    <row r="99" spans="104:113">
      <c r="CZ99" s="18"/>
      <c r="DA99" s="18"/>
      <c r="DB99" s="18"/>
      <c r="DC99" s="18"/>
      <c r="DF99" s="18"/>
      <c r="DG99" s="18"/>
      <c r="DH99" s="18"/>
      <c r="DI99" s="18"/>
    </row>
    <row r="100" spans="104:113">
      <c r="CZ100" s="18"/>
      <c r="DA100" s="18"/>
      <c r="DB100" s="18"/>
      <c r="DC100" s="18"/>
      <c r="DF100" s="18"/>
      <c r="DG100" s="18"/>
      <c r="DH100" s="18"/>
      <c r="DI100" s="18"/>
    </row>
    <row r="101" spans="104:113">
      <c r="CZ101" s="18"/>
      <c r="DA101" s="18"/>
      <c r="DB101" s="18"/>
      <c r="DC101" s="18"/>
      <c r="DF101" s="18"/>
      <c r="DG101" s="18"/>
      <c r="DH101" s="18"/>
      <c r="DI101" s="18"/>
    </row>
    <row r="102" spans="104:113">
      <c r="CZ102" s="18"/>
      <c r="DA102" s="18"/>
      <c r="DB102" s="18"/>
      <c r="DC102" s="18"/>
      <c r="DF102" s="18"/>
      <c r="DG102" s="18"/>
      <c r="DH102" s="18"/>
      <c r="DI102" s="18"/>
    </row>
    <row r="103" spans="104:113">
      <c r="CZ103" s="18"/>
      <c r="DA103" s="18"/>
      <c r="DB103" s="18"/>
      <c r="DC103" s="18"/>
      <c r="DF103" s="18"/>
      <c r="DG103" s="18"/>
      <c r="DH103" s="18"/>
      <c r="DI103" s="18"/>
    </row>
    <row r="104" spans="104:113">
      <c r="CZ104" s="18"/>
      <c r="DA104" s="18"/>
      <c r="DB104" s="18"/>
      <c r="DC104" s="18"/>
      <c r="DF104" s="18"/>
      <c r="DG104" s="18"/>
      <c r="DH104" s="18"/>
      <c r="DI104" s="18"/>
    </row>
    <row r="105" spans="104:113">
      <c r="CZ105" s="18"/>
      <c r="DA105" s="18"/>
      <c r="DB105" s="18"/>
      <c r="DC105" s="18"/>
      <c r="DF105" s="18"/>
      <c r="DG105" s="18"/>
      <c r="DH105" s="18"/>
      <c r="DI105" s="18"/>
    </row>
    <row r="106" spans="104:113">
      <c r="CZ106" s="18"/>
      <c r="DA106" s="18"/>
      <c r="DB106" s="18"/>
      <c r="DC106" s="18"/>
      <c r="DF106" s="18"/>
      <c r="DG106" s="18"/>
      <c r="DH106" s="18"/>
      <c r="DI106" s="18"/>
    </row>
    <row r="107" spans="104:113">
      <c r="CZ107" s="18"/>
      <c r="DA107" s="18"/>
      <c r="DB107" s="18"/>
      <c r="DC107" s="18"/>
      <c r="DF107" s="18"/>
      <c r="DG107" s="18"/>
      <c r="DH107" s="18"/>
      <c r="DI107" s="18"/>
    </row>
    <row r="108" spans="104:113">
      <c r="CZ108" s="18"/>
      <c r="DA108" s="18"/>
      <c r="DB108" s="18"/>
      <c r="DC108" s="18"/>
      <c r="DF108" s="18"/>
      <c r="DG108" s="18"/>
      <c r="DH108" s="18"/>
      <c r="DI108" s="18"/>
    </row>
    <row r="109" spans="104:113">
      <c r="CZ109" s="18"/>
      <c r="DA109" s="18"/>
      <c r="DB109" s="18"/>
      <c r="DC109" s="18"/>
      <c r="DF109" s="18"/>
      <c r="DG109" s="18"/>
      <c r="DH109" s="18"/>
      <c r="DI109" s="18"/>
    </row>
    <row r="110" spans="104:113">
      <c r="CZ110" s="18"/>
      <c r="DA110" s="18"/>
      <c r="DB110" s="18"/>
      <c r="DC110" s="18"/>
      <c r="DF110" s="18"/>
      <c r="DG110" s="18"/>
      <c r="DH110" s="18"/>
      <c r="DI110" s="18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Params</vt:lpstr>
      <vt:lpstr>Strong</vt:lpstr>
      <vt:lpstr>Strong (2)</vt:lpstr>
      <vt:lpstr>Weak</vt:lpstr>
      <vt:lpstr>Graphs</vt:lpstr>
      <vt:lpstr>Convergent 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2013-10-05T16:26:15Z</dcterms:created>
  <dcterms:modified xsi:type="dcterms:W3CDTF">2015-10-21T17:05:36Z</dcterms:modified>
</cp:coreProperties>
</file>